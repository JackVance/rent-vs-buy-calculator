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710e0639c5d418a/Desktop/Notebooks/Finance/"/>
    </mc:Choice>
  </mc:AlternateContent>
  <xr:revisionPtr revIDLastSave="564" documentId="8_{C8D46A80-3834-46D2-A138-7954ECC5ACCE}" xr6:coauthVersionLast="47" xr6:coauthVersionMax="47" xr10:uidLastSave="{EF607A05-61AA-47B8-A628-9C426B4B6DFB}"/>
  <bookViews>
    <workbookView xWindow="38280" yWindow="5880" windowWidth="29040" windowHeight="15720" tabRatio="603" xr2:uid="{EF15EB86-790C-4631-8E8A-C177E01DCE25}"/>
  </bookViews>
  <sheets>
    <sheet name="Main" sheetId="1" r:id="rId1"/>
    <sheet name="Fixed Payment Amortization" sheetId="2" r:id="rId2"/>
    <sheet name="Cash Flow" sheetId="3" r:id="rId3"/>
  </sheets>
  <calcPr calcId="191029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0" i="1" l="1"/>
  <c r="H20" i="1" s="1"/>
  <c r="G19" i="1"/>
  <c r="G24" i="1" s="1"/>
  <c r="B6" i="2"/>
  <c r="AD2" i="3"/>
  <c r="AA2" i="3"/>
  <c r="G37" i="1"/>
  <c r="Q3" i="3" s="1"/>
  <c r="G25" i="1" l="1"/>
  <c r="H19" i="1"/>
  <c r="P5" i="1"/>
  <c r="K6" i="3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G18" i="1"/>
  <c r="H18" i="1" s="1"/>
  <c r="G17" i="1"/>
  <c r="H17" i="1" s="1"/>
  <c r="AA3" i="3" s="1"/>
  <c r="H34" i="1"/>
  <c r="G32" i="1"/>
  <c r="G33" i="1"/>
  <c r="D3" i="3" s="1"/>
  <c r="G36" i="1"/>
  <c r="Q2" i="3" s="1"/>
  <c r="G5" i="1"/>
  <c r="B3" i="2"/>
  <c r="G9" i="1"/>
  <c r="G6" i="1"/>
  <c r="P12" i="3" l="1"/>
  <c r="P33" i="3"/>
  <c r="P41" i="3"/>
  <c r="P11" i="3"/>
  <c r="P21" i="3"/>
  <c r="P25" i="3"/>
  <c r="P31" i="3"/>
  <c r="P38" i="3"/>
  <c r="P9" i="3"/>
  <c r="P19" i="3"/>
  <c r="P20" i="3"/>
  <c r="P22" i="3"/>
  <c r="P29" i="3"/>
  <c r="P8" i="3"/>
  <c r="P40" i="3"/>
  <c r="P7" i="3"/>
  <c r="Q7" i="3" s="1"/>
  <c r="P18" i="3"/>
  <c r="P23" i="3"/>
  <c r="P26" i="3"/>
  <c r="P10" i="3"/>
  <c r="P30" i="3"/>
  <c r="P16" i="3"/>
  <c r="P27" i="3"/>
  <c r="P28" i="3"/>
  <c r="P32" i="3"/>
  <c r="P24" i="3"/>
  <c r="P39" i="3"/>
  <c r="P35" i="3"/>
  <c r="P13" i="3"/>
  <c r="P15" i="3"/>
  <c r="P34" i="3"/>
  <c r="P17" i="3"/>
  <c r="P14" i="3"/>
  <c r="P37" i="3"/>
  <c r="P36" i="3"/>
  <c r="T2" i="3"/>
  <c r="T6" i="3" s="1"/>
  <c r="M5" i="1" s="1"/>
  <c r="G34" i="1"/>
  <c r="G2" i="3" s="1"/>
  <c r="H2" i="3"/>
  <c r="H32" i="1"/>
  <c r="D2" i="3"/>
  <c r="G7" i="1"/>
  <c r="G22" i="1"/>
  <c r="G23" i="1"/>
  <c r="Q8" i="3" l="1"/>
  <c r="Q9" i="3" s="1"/>
  <c r="Q10" i="3" s="1"/>
  <c r="Q11" i="3" s="1"/>
  <c r="Q12" i="3" s="1"/>
  <c r="Q13" i="3" s="1"/>
  <c r="Q14" i="3" s="1"/>
  <c r="Q15" i="3" s="1"/>
  <c r="Q16" i="3" s="1"/>
  <c r="Q17" i="3" s="1"/>
  <c r="Q18" i="3" s="1"/>
  <c r="Q19" i="3" s="1"/>
  <c r="Q20" i="3" s="1"/>
  <c r="Q21" i="3" s="1"/>
  <c r="Q22" i="3" s="1"/>
  <c r="Q23" i="3" s="1"/>
  <c r="Q24" i="3" s="1"/>
  <c r="Q25" i="3" s="1"/>
  <c r="Q26" i="3" s="1"/>
  <c r="Q27" i="3" s="1"/>
  <c r="Q28" i="3" s="1"/>
  <c r="Q29" i="3" s="1"/>
  <c r="Q30" i="3" s="1"/>
  <c r="Q31" i="3" s="1"/>
  <c r="Q32" i="3" s="1"/>
  <c r="Q33" i="3" s="1"/>
  <c r="Q34" i="3" s="1"/>
  <c r="Q35" i="3" s="1"/>
  <c r="Q36" i="3" s="1"/>
  <c r="Q37" i="3" s="1"/>
  <c r="Q38" i="3" s="1"/>
  <c r="Q39" i="3" s="1"/>
  <c r="Q40" i="3" s="1"/>
  <c r="Q41" i="3" s="1"/>
  <c r="C6" i="3"/>
  <c r="AA7" i="3" s="1"/>
  <c r="G26" i="1"/>
  <c r="H26" i="1" s="1"/>
  <c r="N2" i="3" s="1"/>
  <c r="G11" i="1"/>
  <c r="B4" i="2" s="1"/>
  <c r="G14" i="1"/>
  <c r="B2" i="2"/>
  <c r="I2" i="2" s="1"/>
  <c r="G3" i="2" l="1"/>
  <c r="K3" i="2" s="1"/>
  <c r="H6" i="3"/>
  <c r="D6" i="3"/>
  <c r="C7" i="3"/>
  <c r="F7" i="3" s="1"/>
  <c r="G7" i="3" s="1"/>
  <c r="F6" i="3"/>
  <c r="M7" i="3"/>
  <c r="N7" i="3" s="1"/>
  <c r="G29" i="1"/>
  <c r="G28" i="1"/>
  <c r="B5" i="2"/>
  <c r="G13" i="1"/>
  <c r="H3" i="2" l="1"/>
  <c r="D7" i="3"/>
  <c r="C8" i="3"/>
  <c r="M9" i="3" s="1"/>
  <c r="M8" i="3"/>
  <c r="N8" i="3" s="1"/>
  <c r="AA8" i="3"/>
  <c r="I6" i="3"/>
  <c r="L5" i="1" s="1"/>
  <c r="G6" i="3"/>
  <c r="F8" i="3" l="1"/>
  <c r="G8" i="3" s="1"/>
  <c r="C9" i="3"/>
  <c r="M10" i="3" s="1"/>
  <c r="D8" i="3"/>
  <c r="AA9" i="3"/>
  <c r="N9" i="3"/>
  <c r="L3" i="2"/>
  <c r="M3" i="2" s="1"/>
  <c r="I3" i="2"/>
  <c r="G4" i="2" s="1"/>
  <c r="V6" i="3"/>
  <c r="N5" i="1" s="1"/>
  <c r="W6" i="3"/>
  <c r="O5" i="1" s="1"/>
  <c r="F9" i="3" l="1"/>
  <c r="G9" i="3" s="1"/>
  <c r="D9" i="3"/>
  <c r="C10" i="3"/>
  <c r="AA11" i="3" s="1"/>
  <c r="AA10" i="3"/>
  <c r="N10" i="3"/>
  <c r="H4" i="2"/>
  <c r="K4" i="2"/>
  <c r="F10" i="3" l="1"/>
  <c r="G10" i="3" s="1"/>
  <c r="D10" i="3"/>
  <c r="M11" i="3"/>
  <c r="N11" i="3" s="1"/>
  <c r="C11" i="3"/>
  <c r="M12" i="3" s="1"/>
  <c r="I4" i="2"/>
  <c r="L4" i="2"/>
  <c r="M4" i="2" s="1"/>
  <c r="F11" i="3" l="1"/>
  <c r="G11" i="3" s="1"/>
  <c r="D11" i="3"/>
  <c r="C12" i="3"/>
  <c r="C13" i="3" s="1"/>
  <c r="AA12" i="3"/>
  <c r="N12" i="3"/>
  <c r="G5" i="2"/>
  <c r="K5" i="2" s="1"/>
  <c r="D12" i="3" l="1"/>
  <c r="M13" i="3"/>
  <c r="N13" i="3" s="1"/>
  <c r="AA13" i="3"/>
  <c r="F12" i="3"/>
  <c r="G12" i="3" s="1"/>
  <c r="H5" i="2"/>
  <c r="M14" i="3"/>
  <c r="AA14" i="3"/>
  <c r="C14" i="3"/>
  <c r="F13" i="3"/>
  <c r="G13" i="3" s="1"/>
  <c r="D13" i="3"/>
  <c r="N14" i="3" l="1"/>
  <c r="L5" i="2"/>
  <c r="M5" i="2" s="1"/>
  <c r="I5" i="2"/>
  <c r="M15" i="3"/>
  <c r="AA15" i="3"/>
  <c r="C15" i="3"/>
  <c r="F14" i="3"/>
  <c r="G14" i="3" s="1"/>
  <c r="D14" i="3"/>
  <c r="N15" i="3" l="1"/>
  <c r="G6" i="2"/>
  <c r="H6" i="2" s="1"/>
  <c r="M16" i="3"/>
  <c r="AA16" i="3"/>
  <c r="C16" i="3"/>
  <c r="F15" i="3"/>
  <c r="G15" i="3" s="1"/>
  <c r="D15" i="3"/>
  <c r="N16" i="3" l="1"/>
  <c r="K6" i="2"/>
  <c r="M17" i="3"/>
  <c r="AA17" i="3"/>
  <c r="C17" i="3"/>
  <c r="F16" i="3"/>
  <c r="G16" i="3" s="1"/>
  <c r="D16" i="3"/>
  <c r="N17" i="3" l="1"/>
  <c r="L6" i="2"/>
  <c r="M6" i="2" s="1"/>
  <c r="I6" i="2"/>
  <c r="M18" i="3"/>
  <c r="AA18" i="3"/>
  <c r="C18" i="3"/>
  <c r="D17" i="3"/>
  <c r="F17" i="3"/>
  <c r="G17" i="3" s="1"/>
  <c r="N18" i="3" l="1"/>
  <c r="G7" i="2"/>
  <c r="K7" i="2" s="1"/>
  <c r="M19" i="3"/>
  <c r="N19" i="3" s="1"/>
  <c r="AA19" i="3"/>
  <c r="C19" i="3"/>
  <c r="F18" i="3"/>
  <c r="G18" i="3" s="1"/>
  <c r="D18" i="3"/>
  <c r="H7" i="2" l="1"/>
  <c r="I7" i="2" s="1"/>
  <c r="M20" i="3"/>
  <c r="N20" i="3" s="1"/>
  <c r="AA20" i="3"/>
  <c r="C20" i="3"/>
  <c r="D19" i="3"/>
  <c r="F19" i="3"/>
  <c r="G19" i="3" s="1"/>
  <c r="L7" i="2" l="1"/>
  <c r="M7" i="2" s="1"/>
  <c r="G8" i="2"/>
  <c r="H8" i="2" s="1"/>
  <c r="M21" i="3"/>
  <c r="N21" i="3" s="1"/>
  <c r="AA21" i="3"/>
  <c r="C21" i="3"/>
  <c r="D20" i="3"/>
  <c r="F20" i="3"/>
  <c r="G20" i="3" s="1"/>
  <c r="K8" i="2" l="1"/>
  <c r="I8" i="2"/>
  <c r="L8" i="2"/>
  <c r="M22" i="3"/>
  <c r="N22" i="3" s="1"/>
  <c r="AA22" i="3"/>
  <c r="C22" i="3"/>
  <c r="D21" i="3"/>
  <c r="F21" i="3"/>
  <c r="G21" i="3" s="1"/>
  <c r="M8" i="2" l="1"/>
  <c r="G9" i="2"/>
  <c r="H9" i="2" s="1"/>
  <c r="M23" i="3"/>
  <c r="N23" i="3" s="1"/>
  <c r="AA23" i="3"/>
  <c r="C23" i="3"/>
  <c r="D22" i="3"/>
  <c r="F22" i="3"/>
  <c r="G22" i="3" s="1"/>
  <c r="K9" i="2" l="1"/>
  <c r="M24" i="3"/>
  <c r="N24" i="3" s="1"/>
  <c r="AA24" i="3"/>
  <c r="C24" i="3"/>
  <c r="F23" i="3"/>
  <c r="G23" i="3" s="1"/>
  <c r="D23" i="3"/>
  <c r="L9" i="2" l="1"/>
  <c r="M9" i="2" s="1"/>
  <c r="I9" i="2"/>
  <c r="M25" i="3"/>
  <c r="N25" i="3" s="1"/>
  <c r="AA25" i="3"/>
  <c r="C25" i="3"/>
  <c r="D24" i="3"/>
  <c r="F24" i="3"/>
  <c r="G24" i="3" s="1"/>
  <c r="G10" i="2" l="1"/>
  <c r="H10" i="2" s="1"/>
  <c r="M26" i="3"/>
  <c r="N26" i="3" s="1"/>
  <c r="AA26" i="3"/>
  <c r="C26" i="3"/>
  <c r="D25" i="3"/>
  <c r="F25" i="3"/>
  <c r="G25" i="3" s="1"/>
  <c r="K10" i="2" l="1"/>
  <c r="M27" i="3"/>
  <c r="N27" i="3" s="1"/>
  <c r="AA27" i="3"/>
  <c r="C27" i="3"/>
  <c r="D26" i="3"/>
  <c r="F26" i="3"/>
  <c r="G26" i="3" s="1"/>
  <c r="L10" i="2" l="1"/>
  <c r="M10" i="2" s="1"/>
  <c r="I10" i="2"/>
  <c r="M28" i="3"/>
  <c r="N28" i="3" s="1"/>
  <c r="AA28" i="3"/>
  <c r="C28" i="3"/>
  <c r="D27" i="3"/>
  <c r="F27" i="3"/>
  <c r="G27" i="3" s="1"/>
  <c r="G11" i="2" l="1"/>
  <c r="H11" i="2" s="1"/>
  <c r="M29" i="3"/>
  <c r="N29" i="3" s="1"/>
  <c r="AA29" i="3"/>
  <c r="C29" i="3"/>
  <c r="F28" i="3"/>
  <c r="G28" i="3" s="1"/>
  <c r="D28" i="3"/>
  <c r="K11" i="2" l="1"/>
  <c r="M30" i="3"/>
  <c r="N30" i="3" s="1"/>
  <c r="AA30" i="3"/>
  <c r="C30" i="3"/>
  <c r="F29" i="3"/>
  <c r="G29" i="3" s="1"/>
  <c r="D29" i="3"/>
  <c r="L11" i="2" l="1"/>
  <c r="M11" i="2" s="1"/>
  <c r="I11" i="2"/>
  <c r="M31" i="3"/>
  <c r="N31" i="3" s="1"/>
  <c r="AA31" i="3"/>
  <c r="C31" i="3"/>
  <c r="D30" i="3"/>
  <c r="F30" i="3"/>
  <c r="G30" i="3" s="1"/>
  <c r="G12" i="2" l="1"/>
  <c r="H12" i="2" s="1"/>
  <c r="M32" i="3"/>
  <c r="N32" i="3" s="1"/>
  <c r="AA32" i="3"/>
  <c r="C32" i="3"/>
  <c r="D31" i="3"/>
  <c r="F31" i="3"/>
  <c r="G31" i="3" s="1"/>
  <c r="K12" i="2" l="1"/>
  <c r="M33" i="3"/>
  <c r="N33" i="3" s="1"/>
  <c r="AA33" i="3"/>
  <c r="C33" i="3"/>
  <c r="F32" i="3"/>
  <c r="G32" i="3" s="1"/>
  <c r="D32" i="3"/>
  <c r="L12" i="2" l="1"/>
  <c r="M12" i="2" s="1"/>
  <c r="I12" i="2"/>
  <c r="M34" i="3"/>
  <c r="N34" i="3" s="1"/>
  <c r="AA34" i="3"/>
  <c r="C34" i="3"/>
  <c r="D33" i="3"/>
  <c r="F33" i="3"/>
  <c r="G33" i="3" s="1"/>
  <c r="G13" i="2" l="1"/>
  <c r="H13" i="2" s="1"/>
  <c r="M35" i="3"/>
  <c r="N35" i="3" s="1"/>
  <c r="AA35" i="3"/>
  <c r="C35" i="3"/>
  <c r="F34" i="3"/>
  <c r="G34" i="3" s="1"/>
  <c r="D34" i="3"/>
  <c r="K13" i="2" l="1"/>
  <c r="M36" i="3"/>
  <c r="N36" i="3" s="1"/>
  <c r="AA36" i="3"/>
  <c r="C36" i="3"/>
  <c r="D35" i="3"/>
  <c r="F35" i="3"/>
  <c r="G35" i="3" s="1"/>
  <c r="L13" i="2" l="1"/>
  <c r="M13" i="2" s="1"/>
  <c r="I13" i="2"/>
  <c r="M37" i="3"/>
  <c r="N37" i="3" s="1"/>
  <c r="AA37" i="3"/>
  <c r="C37" i="3"/>
  <c r="D36" i="3"/>
  <c r="F36" i="3"/>
  <c r="G36" i="3" s="1"/>
  <c r="G14" i="2" l="1"/>
  <c r="H14" i="2" s="1"/>
  <c r="M38" i="3"/>
  <c r="N38" i="3" s="1"/>
  <c r="AA38" i="3"/>
  <c r="C38" i="3"/>
  <c r="F37" i="3"/>
  <c r="G37" i="3" s="1"/>
  <c r="D37" i="3"/>
  <c r="K14" i="2" l="1"/>
  <c r="K7" i="3" s="1"/>
  <c r="Z7" i="3" s="1"/>
  <c r="AB7" i="3" s="1"/>
  <c r="AC7" i="3" s="1"/>
  <c r="S7" i="3" s="1"/>
  <c r="M39" i="3"/>
  <c r="N39" i="3" s="1"/>
  <c r="AA39" i="3"/>
  <c r="C39" i="3"/>
  <c r="F38" i="3"/>
  <c r="G38" i="3" s="1"/>
  <c r="D38" i="3"/>
  <c r="L14" i="2" l="1"/>
  <c r="I14" i="2"/>
  <c r="M40" i="3"/>
  <c r="N40" i="3" s="1"/>
  <c r="AA40" i="3"/>
  <c r="C40" i="3"/>
  <c r="F39" i="3"/>
  <c r="G39" i="3" s="1"/>
  <c r="D39" i="3"/>
  <c r="H7" i="3" l="1"/>
  <c r="I7" i="3" s="1"/>
  <c r="G15" i="2"/>
  <c r="H15" i="2" s="1"/>
  <c r="L7" i="3"/>
  <c r="O7" i="3" s="1"/>
  <c r="R7" i="3" s="1"/>
  <c r="T7" i="3" s="1"/>
  <c r="M14" i="2"/>
  <c r="M41" i="3"/>
  <c r="N41" i="3" s="1"/>
  <c r="AA41" i="3"/>
  <c r="C41" i="3"/>
  <c r="D40" i="3"/>
  <c r="F40" i="3"/>
  <c r="G40" i="3" s="1"/>
  <c r="K15" i="2" l="1"/>
  <c r="M6" i="1"/>
  <c r="W7" i="3"/>
  <c r="L6" i="1"/>
  <c r="V7" i="3"/>
  <c r="N6" i="1" s="1"/>
  <c r="F41" i="3"/>
  <c r="G41" i="3" s="1"/>
  <c r="D41" i="3"/>
  <c r="X7" i="3" l="1"/>
  <c r="P6" i="1" s="1"/>
  <c r="O6" i="1"/>
  <c r="L15" i="2"/>
  <c r="M15" i="2" s="1"/>
  <c r="I15" i="2"/>
  <c r="G16" i="2" l="1"/>
  <c r="H16" i="2" s="1"/>
  <c r="K16" i="2" l="1"/>
  <c r="L16" i="2" l="1"/>
  <c r="M16" i="2" s="1"/>
  <c r="I16" i="2"/>
  <c r="G17" i="2" l="1"/>
  <c r="H17" i="2" s="1"/>
  <c r="K17" i="2" l="1"/>
  <c r="L17" i="2" l="1"/>
  <c r="M17" i="2" s="1"/>
  <c r="I17" i="2"/>
  <c r="G18" i="2" l="1"/>
  <c r="H18" i="2" s="1"/>
  <c r="K18" i="2" l="1"/>
  <c r="L18" i="2" l="1"/>
  <c r="M18" i="2" s="1"/>
  <c r="I18" i="2"/>
  <c r="G19" i="2" l="1"/>
  <c r="K19" i="2" s="1"/>
  <c r="H19" i="2" l="1"/>
  <c r="L19" i="2" s="1"/>
  <c r="M19" i="2" s="1"/>
  <c r="I19" i="2" l="1"/>
  <c r="G20" i="2" s="1"/>
  <c r="K20" i="2" s="1"/>
  <c r="H20" i="2" l="1"/>
  <c r="L20" i="2" s="1"/>
  <c r="M20" i="2" s="1"/>
  <c r="I20" i="2" l="1"/>
  <c r="G21" i="2" s="1"/>
  <c r="K21" i="2" s="1"/>
  <c r="H21" i="2" l="1"/>
  <c r="L21" i="2" s="1"/>
  <c r="M21" i="2" s="1"/>
  <c r="I21" i="2" l="1"/>
  <c r="G22" i="2" s="1"/>
  <c r="K22" i="2" s="1"/>
  <c r="H22" i="2" l="1"/>
  <c r="L22" i="2" s="1"/>
  <c r="M22" i="2" s="1"/>
  <c r="I22" i="2" l="1"/>
  <c r="G23" i="2" s="1"/>
  <c r="K23" i="2" s="1"/>
  <c r="H23" i="2" l="1"/>
  <c r="L23" i="2" s="1"/>
  <c r="M23" i="2" s="1"/>
  <c r="I23" i="2" l="1"/>
  <c r="G24" i="2" s="1"/>
  <c r="K24" i="2" s="1"/>
  <c r="H24" i="2" l="1"/>
  <c r="L24" i="2" s="1"/>
  <c r="M24" i="2" s="1"/>
  <c r="I24" i="2" l="1"/>
  <c r="G25" i="2" s="1"/>
  <c r="K25" i="2" s="1"/>
  <c r="H25" i="2" l="1"/>
  <c r="L25" i="2" s="1"/>
  <c r="M25" i="2" s="1"/>
  <c r="I25" i="2" l="1"/>
  <c r="G26" i="2" s="1"/>
  <c r="K26" i="2" s="1"/>
  <c r="K8" i="3" s="1"/>
  <c r="Z8" i="3" s="1"/>
  <c r="AB8" i="3" s="1"/>
  <c r="AC8" i="3" s="1"/>
  <c r="S8" i="3" s="1"/>
  <c r="H26" i="2" l="1"/>
  <c r="L26" i="2" s="1"/>
  <c r="I26" i="2" l="1"/>
  <c r="H8" i="3" s="1"/>
  <c r="I8" i="3" s="1"/>
  <c r="M26" i="2"/>
  <c r="L8" i="3"/>
  <c r="O8" i="3" s="1"/>
  <c r="R8" i="3" s="1"/>
  <c r="T8" i="3" s="1"/>
  <c r="G27" i="2" l="1"/>
  <c r="K27" i="2" s="1"/>
  <c r="W8" i="3"/>
  <c r="M7" i="1"/>
  <c r="V8" i="3"/>
  <c r="N7" i="1" s="1"/>
  <c r="L7" i="1"/>
  <c r="H27" i="2" l="1"/>
  <c r="I27" i="2" s="1"/>
  <c r="O7" i="1"/>
  <c r="X8" i="3"/>
  <c r="P7" i="1" s="1"/>
  <c r="L27" i="2" l="1"/>
  <c r="M27" i="2" s="1"/>
  <c r="G28" i="2"/>
  <c r="K28" i="2" s="1"/>
  <c r="H28" i="2" l="1"/>
  <c r="L28" i="2" s="1"/>
  <c r="M28" i="2" s="1"/>
  <c r="I28" i="2" l="1"/>
  <c r="G29" i="2" s="1"/>
  <c r="K29" i="2" s="1"/>
  <c r="H29" i="2" l="1"/>
  <c r="L29" i="2" s="1"/>
  <c r="M29" i="2" s="1"/>
  <c r="I29" i="2" l="1"/>
  <c r="G30" i="2" s="1"/>
  <c r="K30" i="2" s="1"/>
  <c r="H30" i="2" l="1"/>
  <c r="L30" i="2" s="1"/>
  <c r="M30" i="2" s="1"/>
  <c r="I30" i="2" l="1"/>
  <c r="G31" i="2" s="1"/>
  <c r="K31" i="2" s="1"/>
  <c r="H31" i="2" l="1"/>
  <c r="L31" i="2" s="1"/>
  <c r="M31" i="2" s="1"/>
  <c r="I31" i="2" l="1"/>
  <c r="G32" i="2" s="1"/>
  <c r="K32" i="2" s="1"/>
  <c r="H32" i="2" l="1"/>
  <c r="L32" i="2" s="1"/>
  <c r="M32" i="2" s="1"/>
  <c r="I32" i="2" l="1"/>
  <c r="G33" i="2" s="1"/>
  <c r="K33" i="2" s="1"/>
  <c r="H33" i="2" l="1"/>
  <c r="I33" i="2" s="1"/>
  <c r="L33" i="2" l="1"/>
  <c r="M33" i="2" s="1"/>
  <c r="G34" i="2"/>
  <c r="K34" i="2" s="1"/>
  <c r="H34" i="2" l="1"/>
  <c r="L34" i="2" s="1"/>
  <c r="M34" i="2" s="1"/>
  <c r="I34" i="2" l="1"/>
  <c r="G35" i="2" s="1"/>
  <c r="K35" i="2" s="1"/>
  <c r="H35" i="2" l="1"/>
  <c r="L35" i="2" s="1"/>
  <c r="M35" i="2" s="1"/>
  <c r="I35" i="2" l="1"/>
  <c r="G36" i="2" s="1"/>
  <c r="K36" i="2" s="1"/>
  <c r="H36" i="2" l="1"/>
  <c r="L36" i="2" s="1"/>
  <c r="M36" i="2" s="1"/>
  <c r="I36" i="2" l="1"/>
  <c r="G37" i="2" s="1"/>
  <c r="K37" i="2" s="1"/>
  <c r="H37" i="2" l="1"/>
  <c r="L37" i="2" s="1"/>
  <c r="M37" i="2" s="1"/>
  <c r="I37" i="2" l="1"/>
  <c r="G38" i="2" s="1"/>
  <c r="K38" i="2" s="1"/>
  <c r="K9" i="3" s="1"/>
  <c r="Z9" i="3" s="1"/>
  <c r="AB9" i="3" s="1"/>
  <c r="AC9" i="3" s="1"/>
  <c r="S9" i="3" s="1"/>
  <c r="H38" i="2" l="1"/>
  <c r="L38" i="2" s="1"/>
  <c r="I38" i="2" l="1"/>
  <c r="H9" i="3" s="1"/>
  <c r="I9" i="3" s="1"/>
  <c r="L9" i="3"/>
  <c r="O9" i="3" s="1"/>
  <c r="R9" i="3" s="1"/>
  <c r="T9" i="3" s="1"/>
  <c r="M38" i="2"/>
  <c r="G39" i="2" l="1"/>
  <c r="K39" i="2" s="1"/>
  <c r="M8" i="1"/>
  <c r="W9" i="3"/>
  <c r="L8" i="1"/>
  <c r="V9" i="3"/>
  <c r="N8" i="1" s="1"/>
  <c r="H39" i="2" l="1"/>
  <c r="L39" i="2" s="1"/>
  <c r="M39" i="2" s="1"/>
  <c r="O8" i="1"/>
  <c r="X9" i="3"/>
  <c r="P8" i="1" s="1"/>
  <c r="I39" i="2" l="1"/>
  <c r="G40" i="2" s="1"/>
  <c r="K40" i="2" s="1"/>
  <c r="H40" i="2" l="1"/>
  <c r="L40" i="2" s="1"/>
  <c r="M40" i="2" s="1"/>
  <c r="I40" i="2" l="1"/>
  <c r="G41" i="2" s="1"/>
  <c r="K41" i="2" s="1"/>
  <c r="H41" i="2" l="1"/>
  <c r="L41" i="2" s="1"/>
  <c r="M41" i="2" s="1"/>
  <c r="I41" i="2" l="1"/>
  <c r="G42" i="2" s="1"/>
  <c r="K42" i="2" s="1"/>
  <c r="H42" i="2" l="1"/>
  <c r="L42" i="2" s="1"/>
  <c r="M42" i="2" s="1"/>
  <c r="I42" i="2" l="1"/>
  <c r="G43" i="2" s="1"/>
  <c r="K43" i="2" s="1"/>
  <c r="H43" i="2" l="1"/>
  <c r="L43" i="2" s="1"/>
  <c r="M43" i="2" s="1"/>
  <c r="I43" i="2" l="1"/>
  <c r="G44" i="2" s="1"/>
  <c r="K44" i="2" s="1"/>
  <c r="H44" i="2" l="1"/>
  <c r="L44" i="2" s="1"/>
  <c r="M44" i="2" s="1"/>
  <c r="I44" i="2" l="1"/>
  <c r="G45" i="2" s="1"/>
  <c r="K45" i="2" s="1"/>
  <c r="H45" i="2" l="1"/>
  <c r="L45" i="2" s="1"/>
  <c r="M45" i="2" s="1"/>
  <c r="I45" i="2" l="1"/>
  <c r="G46" i="2" s="1"/>
  <c r="K46" i="2" s="1"/>
  <c r="H46" i="2" l="1"/>
  <c r="L46" i="2" s="1"/>
  <c r="M46" i="2" s="1"/>
  <c r="I46" i="2" l="1"/>
  <c r="G47" i="2" s="1"/>
  <c r="K47" i="2" s="1"/>
  <c r="H47" i="2" l="1"/>
  <c r="L47" i="2" s="1"/>
  <c r="M47" i="2" s="1"/>
  <c r="I47" i="2" l="1"/>
  <c r="G48" i="2" s="1"/>
  <c r="K48" i="2" s="1"/>
  <c r="H48" i="2" l="1"/>
  <c r="L48" i="2" s="1"/>
  <c r="M48" i="2" s="1"/>
  <c r="I48" i="2" l="1"/>
  <c r="G49" i="2" s="1"/>
  <c r="K49" i="2" s="1"/>
  <c r="H49" i="2" l="1"/>
  <c r="L49" i="2" s="1"/>
  <c r="M49" i="2" s="1"/>
  <c r="I49" i="2" l="1"/>
  <c r="G50" i="2" s="1"/>
  <c r="K50" i="2" s="1"/>
  <c r="K10" i="3" s="1"/>
  <c r="Z10" i="3" s="1"/>
  <c r="AB10" i="3" s="1"/>
  <c r="AC10" i="3" s="1"/>
  <c r="S10" i="3" s="1"/>
  <c r="H50" i="2" l="1"/>
  <c r="L50" i="2" s="1"/>
  <c r="I50" i="2" l="1"/>
  <c r="H10" i="3" s="1"/>
  <c r="I10" i="3" s="1"/>
  <c r="L10" i="3"/>
  <c r="O10" i="3" s="1"/>
  <c r="R10" i="3" s="1"/>
  <c r="T10" i="3" s="1"/>
  <c r="M50" i="2"/>
  <c r="G51" i="2" l="1"/>
  <c r="K51" i="2" s="1"/>
  <c r="M9" i="1"/>
  <c r="W10" i="3"/>
  <c r="O9" i="1" s="1"/>
  <c r="V10" i="3"/>
  <c r="N9" i="1" s="1"/>
  <c r="L9" i="1"/>
  <c r="H51" i="2" l="1"/>
  <c r="L51" i="2" s="1"/>
  <c r="M51" i="2" s="1"/>
  <c r="X10" i="3"/>
  <c r="P9" i="1" s="1"/>
  <c r="I51" i="2" l="1"/>
  <c r="G52" i="2" s="1"/>
  <c r="K52" i="2" s="1"/>
  <c r="H52" i="2" l="1"/>
  <c r="L52" i="2" s="1"/>
  <c r="M52" i="2" s="1"/>
  <c r="I52" i="2" l="1"/>
  <c r="G53" i="2" s="1"/>
  <c r="K53" i="2" s="1"/>
  <c r="H53" i="2" l="1"/>
  <c r="I53" i="2" s="1"/>
  <c r="L53" i="2" l="1"/>
  <c r="M53" i="2" s="1"/>
  <c r="G54" i="2"/>
  <c r="K54" i="2" s="1"/>
  <c r="H54" i="2" l="1"/>
  <c r="L54" i="2" s="1"/>
  <c r="M54" i="2" s="1"/>
  <c r="I54" i="2" l="1"/>
  <c r="G55" i="2" s="1"/>
  <c r="K55" i="2" s="1"/>
  <c r="H55" i="2" l="1"/>
  <c r="L55" i="2" s="1"/>
  <c r="M55" i="2" s="1"/>
  <c r="I55" i="2" l="1"/>
  <c r="G56" i="2" s="1"/>
  <c r="K56" i="2" s="1"/>
  <c r="H56" i="2" l="1"/>
  <c r="L56" i="2" s="1"/>
  <c r="M56" i="2" s="1"/>
  <c r="I56" i="2" l="1"/>
  <c r="G57" i="2" s="1"/>
  <c r="K57" i="2" s="1"/>
  <c r="H57" i="2" l="1"/>
  <c r="L57" i="2" s="1"/>
  <c r="M57" i="2" s="1"/>
  <c r="I57" i="2" l="1"/>
  <c r="G58" i="2" s="1"/>
  <c r="K58" i="2" s="1"/>
  <c r="H58" i="2" l="1"/>
  <c r="L58" i="2" s="1"/>
  <c r="M58" i="2" s="1"/>
  <c r="I58" i="2" l="1"/>
  <c r="G59" i="2" s="1"/>
  <c r="K59" i="2" s="1"/>
  <c r="H59" i="2" l="1"/>
  <c r="L59" i="2" s="1"/>
  <c r="M59" i="2" s="1"/>
  <c r="I59" i="2" l="1"/>
  <c r="G60" i="2" s="1"/>
  <c r="K60" i="2" s="1"/>
  <c r="H60" i="2" l="1"/>
  <c r="L60" i="2" s="1"/>
  <c r="M60" i="2" s="1"/>
  <c r="I60" i="2" l="1"/>
  <c r="G61" i="2" s="1"/>
  <c r="K61" i="2" s="1"/>
  <c r="H61" i="2" l="1"/>
  <c r="L61" i="2" s="1"/>
  <c r="M61" i="2" s="1"/>
  <c r="I61" i="2" l="1"/>
  <c r="G62" i="2" s="1"/>
  <c r="K62" i="2" s="1"/>
  <c r="K11" i="3" s="1"/>
  <c r="Z11" i="3" s="1"/>
  <c r="AB11" i="3" s="1"/>
  <c r="AC11" i="3" s="1"/>
  <c r="S11" i="3" s="1"/>
  <c r="H62" i="2" l="1"/>
  <c r="L62" i="2" s="1"/>
  <c r="I62" i="2" l="1"/>
  <c r="H11" i="3" s="1"/>
  <c r="I11" i="3" s="1"/>
  <c r="M62" i="2"/>
  <c r="L11" i="3"/>
  <c r="O11" i="3" s="1"/>
  <c r="R11" i="3" s="1"/>
  <c r="T11" i="3" s="1"/>
  <c r="G63" i="2" l="1"/>
  <c r="K63" i="2" s="1"/>
  <c r="M10" i="1"/>
  <c r="W11" i="3"/>
  <c r="O10" i="1" s="1"/>
  <c r="L10" i="1"/>
  <c r="V11" i="3"/>
  <c r="N10" i="1" s="1"/>
  <c r="H63" i="2" l="1"/>
  <c r="X11" i="3"/>
  <c r="P10" i="1" s="1"/>
  <c r="L63" i="2" l="1"/>
  <c r="M63" i="2" s="1"/>
  <c r="I63" i="2"/>
  <c r="G64" i="2" s="1"/>
  <c r="K64" i="2" s="1"/>
  <c r="H64" i="2" l="1"/>
  <c r="L64" i="2" s="1"/>
  <c r="M64" i="2" s="1"/>
  <c r="I64" i="2" l="1"/>
  <c r="G65" i="2" s="1"/>
  <c r="K65" i="2" s="1"/>
  <c r="H65" i="2" l="1"/>
  <c r="L65" i="2" s="1"/>
  <c r="M65" i="2" s="1"/>
  <c r="I65" i="2" l="1"/>
  <c r="G66" i="2" l="1"/>
  <c r="K66" i="2" s="1"/>
  <c r="H66" i="2" l="1"/>
  <c r="L66" i="2" l="1"/>
  <c r="M66" i="2" s="1"/>
  <c r="I66" i="2"/>
  <c r="G67" i="2" l="1"/>
  <c r="K67" i="2" s="1"/>
  <c r="H67" i="2" l="1"/>
  <c r="L67" i="2" l="1"/>
  <c r="M67" i="2" s="1"/>
  <c r="I67" i="2"/>
  <c r="G68" i="2" l="1"/>
  <c r="K68" i="2" s="1"/>
  <c r="H68" i="2" l="1"/>
  <c r="L68" i="2" l="1"/>
  <c r="M68" i="2" s="1"/>
  <c r="I68" i="2"/>
  <c r="G69" i="2" l="1"/>
  <c r="K69" i="2" s="1"/>
  <c r="H69" i="2" l="1"/>
  <c r="L69" i="2" l="1"/>
  <c r="M69" i="2" s="1"/>
  <c r="I69" i="2"/>
  <c r="G70" i="2" l="1"/>
  <c r="K70" i="2" s="1"/>
  <c r="H70" i="2" l="1"/>
  <c r="L70" i="2" l="1"/>
  <c r="M70" i="2" s="1"/>
  <c r="I70" i="2"/>
  <c r="G71" i="2" l="1"/>
  <c r="K71" i="2" s="1"/>
  <c r="H71" i="2" l="1"/>
  <c r="L71" i="2" l="1"/>
  <c r="M71" i="2" s="1"/>
  <c r="I71" i="2"/>
  <c r="G72" i="2" l="1"/>
  <c r="K72" i="2" s="1"/>
  <c r="H72" i="2" l="1"/>
  <c r="L72" i="2" l="1"/>
  <c r="M72" i="2" s="1"/>
  <c r="I72" i="2"/>
  <c r="G73" i="2" l="1"/>
  <c r="K73" i="2" s="1"/>
  <c r="H73" i="2" l="1"/>
  <c r="L73" i="2" l="1"/>
  <c r="M73" i="2" s="1"/>
  <c r="I73" i="2"/>
  <c r="G74" i="2" l="1"/>
  <c r="K74" i="2" s="1"/>
  <c r="K12" i="3" s="1"/>
  <c r="Z12" i="3" s="1"/>
  <c r="AB12" i="3" s="1"/>
  <c r="AC12" i="3" s="1"/>
  <c r="S12" i="3" s="1"/>
  <c r="H74" i="2" l="1"/>
  <c r="L74" i="2" l="1"/>
  <c r="I74" i="2"/>
  <c r="G75" i="2" l="1"/>
  <c r="K75" i="2" s="1"/>
  <c r="H12" i="3"/>
  <c r="I12" i="3" s="1"/>
  <c r="L12" i="3"/>
  <c r="O12" i="3" s="1"/>
  <c r="R12" i="3" s="1"/>
  <c r="T12" i="3" s="1"/>
  <c r="M74" i="2"/>
  <c r="W12" i="3" l="1"/>
  <c r="O11" i="1" s="1"/>
  <c r="M11" i="1"/>
  <c r="L11" i="1"/>
  <c r="V12" i="3"/>
  <c r="N11" i="1" s="1"/>
  <c r="H75" i="2"/>
  <c r="X12" i="3" l="1"/>
  <c r="P11" i="1" s="1"/>
  <c r="L75" i="2"/>
  <c r="M75" i="2" s="1"/>
  <c r="I75" i="2"/>
  <c r="G76" i="2" l="1"/>
  <c r="K76" i="2" s="1"/>
  <c r="H76" i="2" l="1"/>
  <c r="L76" i="2" l="1"/>
  <c r="M76" i="2" s="1"/>
  <c r="I76" i="2"/>
  <c r="G77" i="2" l="1"/>
  <c r="K77" i="2" s="1"/>
  <c r="H77" i="2" l="1"/>
  <c r="L77" i="2" l="1"/>
  <c r="M77" i="2" s="1"/>
  <c r="I77" i="2"/>
  <c r="G78" i="2" l="1"/>
  <c r="K78" i="2" s="1"/>
  <c r="H78" i="2" l="1"/>
  <c r="L78" i="2" l="1"/>
  <c r="M78" i="2" s="1"/>
  <c r="I78" i="2"/>
  <c r="G79" i="2" l="1"/>
  <c r="K79" i="2" s="1"/>
  <c r="H79" i="2" l="1"/>
  <c r="L79" i="2" l="1"/>
  <c r="M79" i="2" s="1"/>
  <c r="I79" i="2"/>
  <c r="G80" i="2" l="1"/>
  <c r="K80" i="2" s="1"/>
  <c r="H80" i="2" l="1"/>
  <c r="L80" i="2" l="1"/>
  <c r="M80" i="2" s="1"/>
  <c r="I80" i="2"/>
  <c r="G81" i="2" l="1"/>
  <c r="K81" i="2" s="1"/>
  <c r="H81" i="2" l="1"/>
  <c r="L81" i="2" l="1"/>
  <c r="M81" i="2" s="1"/>
  <c r="I81" i="2"/>
  <c r="G82" i="2" l="1"/>
  <c r="K82" i="2" s="1"/>
  <c r="H82" i="2" l="1"/>
  <c r="L82" i="2" l="1"/>
  <c r="M82" i="2" s="1"/>
  <c r="I82" i="2"/>
  <c r="G83" i="2" l="1"/>
  <c r="K83" i="2" s="1"/>
  <c r="H83" i="2" l="1"/>
  <c r="L83" i="2" l="1"/>
  <c r="M83" i="2" s="1"/>
  <c r="I83" i="2"/>
  <c r="G84" i="2" l="1"/>
  <c r="K84" i="2" s="1"/>
  <c r="H84" i="2" l="1"/>
  <c r="L84" i="2" l="1"/>
  <c r="M84" i="2" s="1"/>
  <c r="I84" i="2"/>
  <c r="G85" i="2" l="1"/>
  <c r="K85" i="2" s="1"/>
  <c r="H85" i="2" l="1"/>
  <c r="L85" i="2" l="1"/>
  <c r="M85" i="2" s="1"/>
  <c r="I85" i="2"/>
  <c r="G86" i="2" l="1"/>
  <c r="K86" i="2" s="1"/>
  <c r="K13" i="3" s="1"/>
  <c r="Z13" i="3" s="1"/>
  <c r="AB13" i="3" s="1"/>
  <c r="AC13" i="3" s="1"/>
  <c r="S13" i="3" s="1"/>
  <c r="H86" i="2" l="1"/>
  <c r="L86" i="2" l="1"/>
  <c r="I86" i="2"/>
  <c r="H13" i="3" l="1"/>
  <c r="I13" i="3" s="1"/>
  <c r="G87" i="2"/>
  <c r="K87" i="2" s="1"/>
  <c r="M86" i="2"/>
  <c r="L13" i="3"/>
  <c r="O13" i="3" s="1"/>
  <c r="R13" i="3" s="1"/>
  <c r="T13" i="3" s="1"/>
  <c r="M12" i="1" l="1"/>
  <c r="W13" i="3"/>
  <c r="O12" i="1" s="1"/>
  <c r="L12" i="1"/>
  <c r="V13" i="3"/>
  <c r="N12" i="1" s="1"/>
  <c r="H87" i="2"/>
  <c r="X13" i="3" l="1"/>
  <c r="P12" i="1" s="1"/>
  <c r="L87" i="2"/>
  <c r="M87" i="2" s="1"/>
  <c r="I87" i="2"/>
  <c r="G88" i="2" l="1"/>
  <c r="K88" i="2" s="1"/>
  <c r="H88" i="2" l="1"/>
  <c r="L88" i="2" l="1"/>
  <c r="M88" i="2" s="1"/>
  <c r="I88" i="2"/>
  <c r="G89" i="2" l="1"/>
  <c r="K89" i="2" s="1"/>
  <c r="H89" i="2" l="1"/>
  <c r="L89" i="2" l="1"/>
  <c r="M89" i="2" s="1"/>
  <c r="I89" i="2"/>
  <c r="G90" i="2" l="1"/>
  <c r="K90" i="2" s="1"/>
  <c r="H90" i="2" l="1"/>
  <c r="L90" i="2" l="1"/>
  <c r="M90" i="2" s="1"/>
  <c r="I90" i="2"/>
  <c r="G91" i="2" l="1"/>
  <c r="K91" i="2" s="1"/>
  <c r="H91" i="2" l="1"/>
  <c r="L91" i="2" l="1"/>
  <c r="M91" i="2" s="1"/>
  <c r="I91" i="2"/>
  <c r="G92" i="2" l="1"/>
  <c r="K92" i="2" s="1"/>
  <c r="H92" i="2" l="1"/>
  <c r="L92" i="2" l="1"/>
  <c r="M92" i="2" s="1"/>
  <c r="I92" i="2"/>
  <c r="G93" i="2" l="1"/>
  <c r="K93" i="2" s="1"/>
  <c r="H93" i="2" l="1"/>
  <c r="L93" i="2" l="1"/>
  <c r="M93" i="2" s="1"/>
  <c r="I93" i="2"/>
  <c r="G94" i="2" l="1"/>
  <c r="K94" i="2" s="1"/>
  <c r="H94" i="2" l="1"/>
  <c r="L94" i="2" l="1"/>
  <c r="M94" i="2" s="1"/>
  <c r="I94" i="2"/>
  <c r="G95" i="2" l="1"/>
  <c r="K95" i="2" s="1"/>
  <c r="H95" i="2" l="1"/>
  <c r="L95" i="2" l="1"/>
  <c r="M95" i="2" s="1"/>
  <c r="I95" i="2"/>
  <c r="G96" i="2" l="1"/>
  <c r="K96" i="2" s="1"/>
  <c r="H96" i="2" l="1"/>
  <c r="L96" i="2" l="1"/>
  <c r="M96" i="2" s="1"/>
  <c r="I96" i="2"/>
  <c r="G97" i="2" l="1"/>
  <c r="K97" i="2" s="1"/>
  <c r="H97" i="2" l="1"/>
  <c r="L97" i="2" l="1"/>
  <c r="M97" i="2" s="1"/>
  <c r="I97" i="2"/>
  <c r="G98" i="2" l="1"/>
  <c r="K98" i="2" s="1"/>
  <c r="K14" i="3" s="1"/>
  <c r="Z14" i="3" s="1"/>
  <c r="AB14" i="3" s="1"/>
  <c r="AC14" i="3" s="1"/>
  <c r="S14" i="3" s="1"/>
  <c r="H98" i="2" l="1"/>
  <c r="L98" i="2" l="1"/>
  <c r="I98" i="2"/>
  <c r="H14" i="3" l="1"/>
  <c r="I14" i="3" s="1"/>
  <c r="G99" i="2"/>
  <c r="K99" i="2" s="1"/>
  <c r="M98" i="2"/>
  <c r="L14" i="3"/>
  <c r="O14" i="3" s="1"/>
  <c r="R14" i="3" s="1"/>
  <c r="T14" i="3" s="1"/>
  <c r="M13" i="1" l="1"/>
  <c r="W14" i="3"/>
  <c r="O13" i="1" s="1"/>
  <c r="L13" i="1"/>
  <c r="V14" i="3"/>
  <c r="N13" i="1" s="1"/>
  <c r="H99" i="2"/>
  <c r="X14" i="3" l="1"/>
  <c r="P13" i="1" s="1"/>
  <c r="L99" i="2"/>
  <c r="M99" i="2" s="1"/>
  <c r="I99" i="2"/>
  <c r="G100" i="2" l="1"/>
  <c r="K100" i="2" s="1"/>
  <c r="H100" i="2" l="1"/>
  <c r="L100" i="2" l="1"/>
  <c r="M100" i="2" s="1"/>
  <c r="I100" i="2"/>
  <c r="G101" i="2" l="1"/>
  <c r="K101" i="2" s="1"/>
  <c r="H101" i="2" l="1"/>
  <c r="L101" i="2" l="1"/>
  <c r="M101" i="2" s="1"/>
  <c r="I101" i="2"/>
  <c r="G102" i="2" l="1"/>
  <c r="K102" i="2" s="1"/>
  <c r="H102" i="2" l="1"/>
  <c r="L102" i="2" l="1"/>
  <c r="M102" i="2" s="1"/>
  <c r="I102" i="2"/>
  <c r="G103" i="2" l="1"/>
  <c r="K103" i="2" s="1"/>
  <c r="H103" i="2" l="1"/>
  <c r="L103" i="2" l="1"/>
  <c r="M103" i="2" s="1"/>
  <c r="I103" i="2"/>
  <c r="G104" i="2" l="1"/>
  <c r="K104" i="2" s="1"/>
  <c r="H104" i="2" l="1"/>
  <c r="L104" i="2" l="1"/>
  <c r="M104" i="2" s="1"/>
  <c r="I104" i="2"/>
  <c r="G105" i="2" l="1"/>
  <c r="K105" i="2" s="1"/>
  <c r="H105" i="2" l="1"/>
  <c r="L105" i="2" l="1"/>
  <c r="M105" i="2" s="1"/>
  <c r="I105" i="2"/>
  <c r="G106" i="2" l="1"/>
  <c r="K106" i="2" s="1"/>
  <c r="H106" i="2" l="1"/>
  <c r="L106" i="2" l="1"/>
  <c r="M106" i="2" s="1"/>
  <c r="I106" i="2"/>
  <c r="G107" i="2" l="1"/>
  <c r="K107" i="2" s="1"/>
  <c r="H107" i="2" l="1"/>
  <c r="L107" i="2" l="1"/>
  <c r="M107" i="2" s="1"/>
  <c r="I107" i="2"/>
  <c r="G108" i="2" l="1"/>
  <c r="K108" i="2" s="1"/>
  <c r="H108" i="2" l="1"/>
  <c r="L108" i="2" l="1"/>
  <c r="M108" i="2" s="1"/>
  <c r="I108" i="2"/>
  <c r="G109" i="2" l="1"/>
  <c r="K109" i="2" s="1"/>
  <c r="H109" i="2" l="1"/>
  <c r="L109" i="2" l="1"/>
  <c r="M109" i="2" s="1"/>
  <c r="I109" i="2"/>
  <c r="G110" i="2" l="1"/>
  <c r="K110" i="2" s="1"/>
  <c r="K15" i="3" s="1"/>
  <c r="Z15" i="3" s="1"/>
  <c r="AB15" i="3" s="1"/>
  <c r="AC15" i="3" s="1"/>
  <c r="S15" i="3" s="1"/>
  <c r="H110" i="2" l="1"/>
  <c r="L110" i="2" l="1"/>
  <c r="I110" i="2"/>
  <c r="H15" i="3" l="1"/>
  <c r="I15" i="3" s="1"/>
  <c r="G111" i="2"/>
  <c r="K111" i="2" s="1"/>
  <c r="L15" i="3"/>
  <c r="O15" i="3" s="1"/>
  <c r="R15" i="3" s="1"/>
  <c r="T15" i="3" s="1"/>
  <c r="M110" i="2"/>
  <c r="H111" i="2" l="1"/>
  <c r="L111" i="2" s="1"/>
  <c r="M111" i="2" s="1"/>
  <c r="M14" i="1"/>
  <c r="W15" i="3"/>
  <c r="O14" i="1" s="1"/>
  <c r="V15" i="3"/>
  <c r="N14" i="1" s="1"/>
  <c r="L14" i="1"/>
  <c r="I111" i="2" l="1"/>
  <c r="G112" i="2" s="1"/>
  <c r="K112" i="2" s="1"/>
  <c r="X15" i="3"/>
  <c r="P14" i="1" s="1"/>
  <c r="H112" i="2" l="1"/>
  <c r="L112" i="2" l="1"/>
  <c r="M112" i="2" s="1"/>
  <c r="I112" i="2"/>
  <c r="G113" i="2" l="1"/>
  <c r="K113" i="2" s="1"/>
  <c r="H113" i="2" l="1"/>
  <c r="L113" i="2" l="1"/>
  <c r="M113" i="2" s="1"/>
  <c r="I113" i="2"/>
  <c r="G114" i="2" l="1"/>
  <c r="K114" i="2" s="1"/>
  <c r="H114" i="2" l="1"/>
  <c r="L114" i="2" l="1"/>
  <c r="M114" i="2" s="1"/>
  <c r="I114" i="2"/>
  <c r="G115" i="2" l="1"/>
  <c r="K115" i="2" s="1"/>
  <c r="H115" i="2" l="1"/>
  <c r="L115" i="2" l="1"/>
  <c r="M115" i="2" s="1"/>
  <c r="I115" i="2"/>
  <c r="G116" i="2" l="1"/>
  <c r="K116" i="2" s="1"/>
  <c r="H116" i="2" l="1"/>
  <c r="L116" i="2" l="1"/>
  <c r="M116" i="2" s="1"/>
  <c r="I116" i="2"/>
  <c r="G117" i="2" l="1"/>
  <c r="K117" i="2" s="1"/>
  <c r="H117" i="2" l="1"/>
  <c r="L117" i="2" l="1"/>
  <c r="M117" i="2" s="1"/>
  <c r="I117" i="2"/>
  <c r="G118" i="2" l="1"/>
  <c r="K118" i="2" s="1"/>
  <c r="H118" i="2" l="1"/>
  <c r="L118" i="2" l="1"/>
  <c r="M118" i="2" s="1"/>
  <c r="I118" i="2"/>
  <c r="G119" i="2" l="1"/>
  <c r="K119" i="2" s="1"/>
  <c r="H119" i="2" l="1"/>
  <c r="L119" i="2" l="1"/>
  <c r="M119" i="2" s="1"/>
  <c r="I119" i="2"/>
  <c r="G120" i="2" l="1"/>
  <c r="K120" i="2" s="1"/>
  <c r="H120" i="2" l="1"/>
  <c r="L120" i="2" l="1"/>
  <c r="M120" i="2" s="1"/>
  <c r="I120" i="2"/>
  <c r="G121" i="2" l="1"/>
  <c r="K121" i="2" s="1"/>
  <c r="H121" i="2" l="1"/>
  <c r="L121" i="2" l="1"/>
  <c r="M121" i="2" s="1"/>
  <c r="I121" i="2"/>
  <c r="G122" i="2" l="1"/>
  <c r="K122" i="2" s="1"/>
  <c r="K16" i="3" s="1"/>
  <c r="Z16" i="3" s="1"/>
  <c r="AB16" i="3" s="1"/>
  <c r="AC16" i="3" s="1"/>
  <c r="S16" i="3" s="1"/>
  <c r="H122" i="2" l="1"/>
  <c r="L122" i="2" l="1"/>
  <c r="I122" i="2"/>
  <c r="G123" i="2" l="1"/>
  <c r="K123" i="2" s="1"/>
  <c r="H16" i="3"/>
  <c r="I16" i="3" s="1"/>
  <c r="M122" i="2"/>
  <c r="L16" i="3"/>
  <c r="O16" i="3" s="1"/>
  <c r="R16" i="3" s="1"/>
  <c r="T16" i="3" s="1"/>
  <c r="M15" i="1" l="1"/>
  <c r="W16" i="3"/>
  <c r="O15" i="1" s="1"/>
  <c r="L15" i="1"/>
  <c r="V16" i="3"/>
  <c r="N15" i="1" s="1"/>
  <c r="H123" i="2"/>
  <c r="X16" i="3" l="1"/>
  <c r="P15" i="1" s="1"/>
  <c r="L123" i="2"/>
  <c r="M123" i="2" s="1"/>
  <c r="I123" i="2"/>
  <c r="G124" i="2" l="1"/>
  <c r="K124" i="2" s="1"/>
  <c r="H124" i="2" l="1"/>
  <c r="L124" i="2" l="1"/>
  <c r="M124" i="2" s="1"/>
  <c r="I124" i="2"/>
  <c r="G125" i="2" l="1"/>
  <c r="K125" i="2" s="1"/>
  <c r="H125" i="2" l="1"/>
  <c r="L125" i="2" l="1"/>
  <c r="M125" i="2" s="1"/>
  <c r="I125" i="2"/>
  <c r="G126" i="2" l="1"/>
  <c r="K126" i="2" s="1"/>
  <c r="H126" i="2" l="1"/>
  <c r="L126" i="2" l="1"/>
  <c r="M126" i="2" s="1"/>
  <c r="I126" i="2"/>
  <c r="G127" i="2" l="1"/>
  <c r="K127" i="2" s="1"/>
  <c r="H127" i="2" l="1"/>
  <c r="L127" i="2" l="1"/>
  <c r="M127" i="2" s="1"/>
  <c r="I127" i="2"/>
  <c r="G128" i="2" l="1"/>
  <c r="K128" i="2" s="1"/>
  <c r="H128" i="2" l="1"/>
  <c r="L128" i="2" l="1"/>
  <c r="M128" i="2" s="1"/>
  <c r="I128" i="2"/>
  <c r="G129" i="2" l="1"/>
  <c r="K129" i="2" s="1"/>
  <c r="H129" i="2" l="1"/>
  <c r="L129" i="2" l="1"/>
  <c r="M129" i="2" s="1"/>
  <c r="I129" i="2"/>
  <c r="G130" i="2" l="1"/>
  <c r="K130" i="2" s="1"/>
  <c r="H130" i="2" l="1"/>
  <c r="L130" i="2" l="1"/>
  <c r="M130" i="2" s="1"/>
  <c r="I130" i="2"/>
  <c r="G131" i="2" l="1"/>
  <c r="K131" i="2" s="1"/>
  <c r="H131" i="2" l="1"/>
  <c r="L131" i="2" l="1"/>
  <c r="M131" i="2" s="1"/>
  <c r="I131" i="2"/>
  <c r="G132" i="2" l="1"/>
  <c r="K132" i="2" s="1"/>
  <c r="H132" i="2" l="1"/>
  <c r="L132" i="2" l="1"/>
  <c r="M132" i="2" s="1"/>
  <c r="I132" i="2"/>
  <c r="G133" i="2" l="1"/>
  <c r="K133" i="2" s="1"/>
  <c r="H133" i="2" l="1"/>
  <c r="L133" i="2" l="1"/>
  <c r="M133" i="2" s="1"/>
  <c r="I133" i="2"/>
  <c r="G134" i="2" l="1"/>
  <c r="K134" i="2" s="1"/>
  <c r="K17" i="3" s="1"/>
  <c r="Z17" i="3" s="1"/>
  <c r="AB17" i="3" s="1"/>
  <c r="AC17" i="3" s="1"/>
  <c r="S17" i="3" s="1"/>
  <c r="H134" i="2" l="1"/>
  <c r="L134" i="2" l="1"/>
  <c r="I134" i="2"/>
  <c r="G135" i="2" l="1"/>
  <c r="K135" i="2" s="1"/>
  <c r="K18" i="3" s="1"/>
  <c r="Z18" i="3" s="1"/>
  <c r="AB18" i="3" s="1"/>
  <c r="AC18" i="3" s="1"/>
  <c r="S18" i="3" s="1"/>
  <c r="H17" i="3"/>
  <c r="I17" i="3" s="1"/>
  <c r="L17" i="3"/>
  <c r="O17" i="3" s="1"/>
  <c r="R17" i="3" s="1"/>
  <c r="T17" i="3" s="1"/>
  <c r="M134" i="2"/>
  <c r="W17" i="3" l="1"/>
  <c r="O16" i="1" s="1"/>
  <c r="M16" i="1"/>
  <c r="V17" i="3"/>
  <c r="N16" i="1" s="1"/>
  <c r="L16" i="1"/>
  <c r="H135" i="2"/>
  <c r="X17" i="3" l="1"/>
  <c r="P16" i="1" s="1"/>
  <c r="L135" i="2"/>
  <c r="I135" i="2"/>
  <c r="G136" i="2" l="1"/>
  <c r="K136" i="2" s="1"/>
  <c r="K19" i="3" s="1"/>
  <c r="Z19" i="3" s="1"/>
  <c r="AB19" i="3" s="1"/>
  <c r="AC19" i="3" s="1"/>
  <c r="S19" i="3" s="1"/>
  <c r="H18" i="3"/>
  <c r="I18" i="3" s="1"/>
  <c r="L18" i="3"/>
  <c r="O18" i="3" s="1"/>
  <c r="R18" i="3" s="1"/>
  <c r="T18" i="3" s="1"/>
  <c r="M135" i="2"/>
  <c r="W18" i="3" l="1"/>
  <c r="O17" i="1" s="1"/>
  <c r="M17" i="1"/>
  <c r="L17" i="1"/>
  <c r="V18" i="3"/>
  <c r="N17" i="1" s="1"/>
  <c r="H136" i="2"/>
  <c r="L136" i="2" l="1"/>
  <c r="I136" i="2"/>
  <c r="X18" i="3"/>
  <c r="P17" i="1" s="1"/>
  <c r="G137" i="2" l="1"/>
  <c r="K137" i="2" s="1"/>
  <c r="K20" i="3" s="1"/>
  <c r="Z20" i="3" s="1"/>
  <c r="AB20" i="3" s="1"/>
  <c r="AC20" i="3" s="1"/>
  <c r="S20" i="3" s="1"/>
  <c r="H19" i="3"/>
  <c r="I19" i="3" s="1"/>
  <c r="L19" i="3"/>
  <c r="O19" i="3" s="1"/>
  <c r="R19" i="3" s="1"/>
  <c r="T19" i="3" s="1"/>
  <c r="M136" i="2"/>
  <c r="W19" i="3" l="1"/>
  <c r="O18" i="1" s="1"/>
  <c r="M18" i="1"/>
  <c r="L18" i="1"/>
  <c r="V19" i="3"/>
  <c r="N18" i="1" s="1"/>
  <c r="H137" i="2"/>
  <c r="X19" i="3" l="1"/>
  <c r="P18" i="1" s="1"/>
  <c r="L137" i="2"/>
  <c r="I137" i="2"/>
  <c r="G138" i="2" l="1"/>
  <c r="K138" i="2" s="1"/>
  <c r="K21" i="3" s="1"/>
  <c r="Z21" i="3" s="1"/>
  <c r="AB21" i="3" s="1"/>
  <c r="AC21" i="3" s="1"/>
  <c r="S21" i="3" s="1"/>
  <c r="H20" i="3"/>
  <c r="I20" i="3" s="1"/>
  <c r="M137" i="2"/>
  <c r="L20" i="3"/>
  <c r="O20" i="3" s="1"/>
  <c r="R20" i="3" s="1"/>
  <c r="T20" i="3" s="1"/>
  <c r="M19" i="1" l="1"/>
  <c r="W20" i="3"/>
  <c r="O19" i="1" s="1"/>
  <c r="V20" i="3"/>
  <c r="N19" i="1" s="1"/>
  <c r="L19" i="1"/>
  <c r="H138" i="2"/>
  <c r="X20" i="3" l="1"/>
  <c r="P19" i="1" s="1"/>
  <c r="L138" i="2"/>
  <c r="I138" i="2"/>
  <c r="G139" i="2" l="1"/>
  <c r="K139" i="2" s="1"/>
  <c r="K22" i="3" s="1"/>
  <c r="Z22" i="3" s="1"/>
  <c r="AB22" i="3" s="1"/>
  <c r="AC22" i="3" s="1"/>
  <c r="S22" i="3" s="1"/>
  <c r="H21" i="3"/>
  <c r="I21" i="3" s="1"/>
  <c r="M138" i="2"/>
  <c r="L21" i="3"/>
  <c r="O21" i="3" s="1"/>
  <c r="R21" i="3" s="1"/>
  <c r="T21" i="3" s="1"/>
  <c r="W21" i="3" l="1"/>
  <c r="O20" i="1" s="1"/>
  <c r="M20" i="1"/>
  <c r="L20" i="1"/>
  <c r="V21" i="3"/>
  <c r="N20" i="1" s="1"/>
  <c r="H139" i="2"/>
  <c r="X21" i="3" l="1"/>
  <c r="P20" i="1" s="1"/>
  <c r="L139" i="2"/>
  <c r="I139" i="2"/>
  <c r="H22" i="3" l="1"/>
  <c r="I22" i="3" s="1"/>
  <c r="G140" i="2"/>
  <c r="K140" i="2" s="1"/>
  <c r="K23" i="3" s="1"/>
  <c r="Z23" i="3" s="1"/>
  <c r="AB23" i="3" s="1"/>
  <c r="AC23" i="3" s="1"/>
  <c r="S23" i="3" s="1"/>
  <c r="M139" i="2"/>
  <c r="L22" i="3"/>
  <c r="O22" i="3" s="1"/>
  <c r="R22" i="3" s="1"/>
  <c r="T22" i="3" s="1"/>
  <c r="M21" i="1" l="1"/>
  <c r="W22" i="3"/>
  <c r="O21" i="1" s="1"/>
  <c r="L21" i="1"/>
  <c r="V22" i="3"/>
  <c r="N21" i="1" s="1"/>
  <c r="H140" i="2"/>
  <c r="X22" i="3" l="1"/>
  <c r="P21" i="1" s="1"/>
  <c r="L140" i="2"/>
  <c r="I140" i="2"/>
  <c r="H23" i="3" l="1"/>
  <c r="I23" i="3" s="1"/>
  <c r="G141" i="2"/>
  <c r="K141" i="2" s="1"/>
  <c r="K24" i="3" s="1"/>
  <c r="Z24" i="3" s="1"/>
  <c r="AB24" i="3" s="1"/>
  <c r="AC24" i="3" s="1"/>
  <c r="S24" i="3" s="1"/>
  <c r="M140" i="2"/>
  <c r="L23" i="3"/>
  <c r="O23" i="3" s="1"/>
  <c r="R23" i="3" s="1"/>
  <c r="T23" i="3" s="1"/>
  <c r="M22" i="1" l="1"/>
  <c r="W23" i="3"/>
  <c r="O22" i="1" s="1"/>
  <c r="V23" i="3"/>
  <c r="N22" i="1" s="1"/>
  <c r="L22" i="1"/>
  <c r="H141" i="2"/>
  <c r="X23" i="3" l="1"/>
  <c r="P22" i="1" s="1"/>
  <c r="L141" i="2"/>
  <c r="I141" i="2"/>
  <c r="H24" i="3" l="1"/>
  <c r="I24" i="3" s="1"/>
  <c r="G142" i="2"/>
  <c r="K142" i="2" s="1"/>
  <c r="K25" i="3" s="1"/>
  <c r="Z25" i="3" s="1"/>
  <c r="AB25" i="3" s="1"/>
  <c r="AC25" i="3" s="1"/>
  <c r="S25" i="3" s="1"/>
  <c r="M141" i="2"/>
  <c r="L24" i="3"/>
  <c r="O24" i="3" s="1"/>
  <c r="R24" i="3" s="1"/>
  <c r="T24" i="3" s="1"/>
  <c r="W24" i="3" l="1"/>
  <c r="O23" i="1" s="1"/>
  <c r="M23" i="1"/>
  <c r="V24" i="3"/>
  <c r="N23" i="1" s="1"/>
  <c r="L23" i="1"/>
  <c r="H142" i="2"/>
  <c r="X24" i="3" l="1"/>
  <c r="P23" i="1" s="1"/>
  <c r="L142" i="2"/>
  <c r="I142" i="2"/>
  <c r="H25" i="3" l="1"/>
  <c r="I25" i="3" s="1"/>
  <c r="G143" i="2"/>
  <c r="K143" i="2" s="1"/>
  <c r="K26" i="3" s="1"/>
  <c r="Z26" i="3" s="1"/>
  <c r="AB26" i="3" s="1"/>
  <c r="AC26" i="3" s="1"/>
  <c r="S26" i="3" s="1"/>
  <c r="M142" i="2"/>
  <c r="L25" i="3"/>
  <c r="O25" i="3" s="1"/>
  <c r="R25" i="3" s="1"/>
  <c r="T25" i="3" s="1"/>
  <c r="W25" i="3" l="1"/>
  <c r="O24" i="1" s="1"/>
  <c r="M24" i="1"/>
  <c r="V25" i="3"/>
  <c r="N24" i="1" s="1"/>
  <c r="L24" i="1"/>
  <c r="H143" i="2"/>
  <c r="X25" i="3" l="1"/>
  <c r="P24" i="1" s="1"/>
  <c r="L143" i="2"/>
  <c r="I143" i="2"/>
  <c r="H26" i="3" l="1"/>
  <c r="I26" i="3" s="1"/>
  <c r="G144" i="2"/>
  <c r="K144" i="2" s="1"/>
  <c r="K27" i="3" s="1"/>
  <c r="Z27" i="3" s="1"/>
  <c r="AB27" i="3" s="1"/>
  <c r="AC27" i="3" s="1"/>
  <c r="S27" i="3" s="1"/>
  <c r="M143" i="2"/>
  <c r="L26" i="3"/>
  <c r="O26" i="3" s="1"/>
  <c r="R26" i="3" s="1"/>
  <c r="T26" i="3" s="1"/>
  <c r="W26" i="3" l="1"/>
  <c r="O25" i="1" s="1"/>
  <c r="M25" i="1"/>
  <c r="L25" i="1"/>
  <c r="V26" i="3"/>
  <c r="N25" i="1" s="1"/>
  <c r="H144" i="2"/>
  <c r="X26" i="3" l="1"/>
  <c r="P25" i="1" s="1"/>
  <c r="L144" i="2"/>
  <c r="I144" i="2"/>
  <c r="H27" i="3" l="1"/>
  <c r="I27" i="3" s="1"/>
  <c r="G145" i="2"/>
  <c r="K145" i="2" s="1"/>
  <c r="K28" i="3" s="1"/>
  <c r="Z28" i="3" s="1"/>
  <c r="AB28" i="3" s="1"/>
  <c r="AC28" i="3" s="1"/>
  <c r="S28" i="3" s="1"/>
  <c r="M144" i="2"/>
  <c r="L27" i="3"/>
  <c r="O27" i="3" s="1"/>
  <c r="R27" i="3" s="1"/>
  <c r="T27" i="3" s="1"/>
  <c r="M26" i="1" l="1"/>
  <c r="W27" i="3"/>
  <c r="O26" i="1" s="1"/>
  <c r="V27" i="3"/>
  <c r="N26" i="1" s="1"/>
  <c r="L26" i="1"/>
  <c r="H145" i="2"/>
  <c r="X27" i="3" l="1"/>
  <c r="P26" i="1" s="1"/>
  <c r="L145" i="2"/>
  <c r="I145" i="2"/>
  <c r="G146" i="2" l="1"/>
  <c r="K146" i="2" s="1"/>
  <c r="K29" i="3" s="1"/>
  <c r="Z29" i="3" s="1"/>
  <c r="AB29" i="3" s="1"/>
  <c r="AC29" i="3" s="1"/>
  <c r="S29" i="3" s="1"/>
  <c r="H28" i="3"/>
  <c r="I28" i="3" s="1"/>
  <c r="L28" i="3"/>
  <c r="O28" i="3" s="1"/>
  <c r="R28" i="3" s="1"/>
  <c r="T28" i="3" s="1"/>
  <c r="M145" i="2"/>
  <c r="W28" i="3" l="1"/>
  <c r="O27" i="1" s="1"/>
  <c r="M27" i="1"/>
  <c r="V28" i="3"/>
  <c r="N27" i="1" s="1"/>
  <c r="L27" i="1"/>
  <c r="H146" i="2"/>
  <c r="X28" i="3" l="1"/>
  <c r="P27" i="1" s="1"/>
  <c r="L146" i="2"/>
  <c r="I146" i="2"/>
  <c r="H29" i="3" l="1"/>
  <c r="I29" i="3" s="1"/>
  <c r="G147" i="2"/>
  <c r="K147" i="2" s="1"/>
  <c r="K30" i="3" s="1"/>
  <c r="Z30" i="3" s="1"/>
  <c r="AB30" i="3" s="1"/>
  <c r="AC30" i="3" s="1"/>
  <c r="S30" i="3" s="1"/>
  <c r="L29" i="3"/>
  <c r="O29" i="3" s="1"/>
  <c r="R29" i="3" s="1"/>
  <c r="T29" i="3" s="1"/>
  <c r="M146" i="2"/>
  <c r="M28" i="1" l="1"/>
  <c r="W29" i="3"/>
  <c r="O28" i="1" s="1"/>
  <c r="L28" i="1"/>
  <c r="V29" i="3"/>
  <c r="N28" i="1" s="1"/>
  <c r="H147" i="2"/>
  <c r="X29" i="3" l="1"/>
  <c r="P28" i="1" s="1"/>
  <c r="L147" i="2"/>
  <c r="I147" i="2"/>
  <c r="H30" i="3" l="1"/>
  <c r="I30" i="3" s="1"/>
  <c r="G148" i="2"/>
  <c r="K148" i="2" s="1"/>
  <c r="K31" i="3" s="1"/>
  <c r="Z31" i="3" s="1"/>
  <c r="AB31" i="3" s="1"/>
  <c r="AC31" i="3" s="1"/>
  <c r="S31" i="3" s="1"/>
  <c r="M147" i="2"/>
  <c r="L30" i="3"/>
  <c r="O30" i="3" s="1"/>
  <c r="R30" i="3" s="1"/>
  <c r="T30" i="3" s="1"/>
  <c r="M29" i="1" l="1"/>
  <c r="W30" i="3"/>
  <c r="O29" i="1" s="1"/>
  <c r="V30" i="3"/>
  <c r="N29" i="1" s="1"/>
  <c r="L29" i="1"/>
  <c r="H148" i="2"/>
  <c r="X30" i="3" l="1"/>
  <c r="P29" i="1" s="1"/>
  <c r="L148" i="2"/>
  <c r="I148" i="2"/>
  <c r="H31" i="3" l="1"/>
  <c r="I31" i="3" s="1"/>
  <c r="G149" i="2"/>
  <c r="K149" i="2" s="1"/>
  <c r="K32" i="3" s="1"/>
  <c r="Z32" i="3" s="1"/>
  <c r="AB32" i="3" s="1"/>
  <c r="AC32" i="3" s="1"/>
  <c r="S32" i="3" s="1"/>
  <c r="M148" i="2"/>
  <c r="L31" i="3"/>
  <c r="O31" i="3" s="1"/>
  <c r="R31" i="3" s="1"/>
  <c r="T31" i="3" s="1"/>
  <c r="W31" i="3" l="1"/>
  <c r="O30" i="1" s="1"/>
  <c r="M30" i="1"/>
  <c r="L30" i="1"/>
  <c r="V31" i="3"/>
  <c r="N30" i="1" s="1"/>
  <c r="H149" i="2"/>
  <c r="X31" i="3" l="1"/>
  <c r="P30" i="1" s="1"/>
  <c r="L149" i="2"/>
  <c r="I149" i="2"/>
  <c r="H32" i="3" l="1"/>
  <c r="I32" i="3" s="1"/>
  <c r="G150" i="2"/>
  <c r="K150" i="2" s="1"/>
  <c r="K33" i="3" s="1"/>
  <c r="Z33" i="3" s="1"/>
  <c r="AB33" i="3" s="1"/>
  <c r="AC33" i="3" s="1"/>
  <c r="S33" i="3" s="1"/>
  <c r="M149" i="2"/>
  <c r="L32" i="3"/>
  <c r="O32" i="3" s="1"/>
  <c r="R32" i="3" s="1"/>
  <c r="T32" i="3" s="1"/>
  <c r="W32" i="3" l="1"/>
  <c r="O31" i="1" s="1"/>
  <c r="M31" i="1"/>
  <c r="V32" i="3"/>
  <c r="N31" i="1" s="1"/>
  <c r="L31" i="1"/>
  <c r="H150" i="2"/>
  <c r="X32" i="3" l="1"/>
  <c r="P31" i="1" s="1"/>
  <c r="L150" i="2"/>
  <c r="I150" i="2"/>
  <c r="G151" i="2" l="1"/>
  <c r="K151" i="2" s="1"/>
  <c r="K34" i="3" s="1"/>
  <c r="Z34" i="3" s="1"/>
  <c r="AB34" i="3" s="1"/>
  <c r="AC34" i="3" s="1"/>
  <c r="S34" i="3" s="1"/>
  <c r="H33" i="3"/>
  <c r="I33" i="3" s="1"/>
  <c r="M150" i="2"/>
  <c r="L33" i="3"/>
  <c r="O33" i="3" s="1"/>
  <c r="R33" i="3" s="1"/>
  <c r="T33" i="3" s="1"/>
  <c r="M32" i="1" l="1"/>
  <c r="W33" i="3"/>
  <c r="O32" i="1" s="1"/>
  <c r="L32" i="1"/>
  <c r="V33" i="3"/>
  <c r="N32" i="1" s="1"/>
  <c r="H151" i="2"/>
  <c r="X33" i="3" l="1"/>
  <c r="P32" i="1" s="1"/>
  <c r="L151" i="2"/>
  <c r="I151" i="2"/>
  <c r="G152" i="2" l="1"/>
  <c r="K152" i="2" s="1"/>
  <c r="K35" i="3" s="1"/>
  <c r="Z35" i="3" s="1"/>
  <c r="AB35" i="3" s="1"/>
  <c r="AC35" i="3" s="1"/>
  <c r="S35" i="3" s="1"/>
  <c r="H34" i="3"/>
  <c r="I34" i="3" s="1"/>
  <c r="L34" i="3"/>
  <c r="O34" i="3" s="1"/>
  <c r="R34" i="3" s="1"/>
  <c r="T34" i="3" s="1"/>
  <c r="M151" i="2"/>
  <c r="M33" i="1" l="1"/>
  <c r="W34" i="3"/>
  <c r="O33" i="1" s="1"/>
  <c r="V34" i="3"/>
  <c r="N33" i="1" s="1"/>
  <c r="L33" i="1"/>
  <c r="H152" i="2"/>
  <c r="X34" i="3" l="1"/>
  <c r="P33" i="1" s="1"/>
  <c r="L152" i="2"/>
  <c r="I152" i="2"/>
  <c r="G153" i="2" l="1"/>
  <c r="K153" i="2" s="1"/>
  <c r="K36" i="3" s="1"/>
  <c r="Z36" i="3" s="1"/>
  <c r="AB36" i="3" s="1"/>
  <c r="AC36" i="3" s="1"/>
  <c r="S36" i="3" s="1"/>
  <c r="H35" i="3"/>
  <c r="I35" i="3" s="1"/>
  <c r="M152" i="2"/>
  <c r="L35" i="3"/>
  <c r="O35" i="3" s="1"/>
  <c r="R35" i="3" s="1"/>
  <c r="T35" i="3" s="1"/>
  <c r="M34" i="1" l="1"/>
  <c r="W35" i="3"/>
  <c r="O34" i="1" s="1"/>
  <c r="L34" i="1"/>
  <c r="V35" i="3"/>
  <c r="N34" i="1" s="1"/>
  <c r="H153" i="2"/>
  <c r="X35" i="3" l="1"/>
  <c r="P34" i="1" s="1"/>
  <c r="L153" i="2"/>
  <c r="I153" i="2"/>
  <c r="G154" i="2" l="1"/>
  <c r="K154" i="2" s="1"/>
  <c r="K37" i="3" s="1"/>
  <c r="Z37" i="3" s="1"/>
  <c r="AB37" i="3" s="1"/>
  <c r="AC37" i="3" s="1"/>
  <c r="S37" i="3" s="1"/>
  <c r="H36" i="3"/>
  <c r="I36" i="3" s="1"/>
  <c r="M153" i="2"/>
  <c r="L36" i="3"/>
  <c r="O36" i="3" s="1"/>
  <c r="R36" i="3" s="1"/>
  <c r="T36" i="3" s="1"/>
  <c r="W36" i="3" l="1"/>
  <c r="O35" i="1" s="1"/>
  <c r="M35" i="1"/>
  <c r="V36" i="3"/>
  <c r="N35" i="1" s="1"/>
  <c r="L35" i="1"/>
  <c r="H154" i="2"/>
  <c r="X36" i="3" l="1"/>
  <c r="P35" i="1" s="1"/>
  <c r="L154" i="2"/>
  <c r="I154" i="2"/>
  <c r="H37" i="3" l="1"/>
  <c r="I37" i="3" s="1"/>
  <c r="G155" i="2"/>
  <c r="K155" i="2" s="1"/>
  <c r="K38" i="3" s="1"/>
  <c r="Z38" i="3" s="1"/>
  <c r="AB38" i="3" s="1"/>
  <c r="AC38" i="3" s="1"/>
  <c r="S38" i="3" s="1"/>
  <c r="L37" i="3"/>
  <c r="O37" i="3" s="1"/>
  <c r="R37" i="3" s="1"/>
  <c r="T37" i="3" s="1"/>
  <c r="M154" i="2"/>
  <c r="W37" i="3" l="1"/>
  <c r="O36" i="1" s="1"/>
  <c r="M36" i="1"/>
  <c r="V37" i="3"/>
  <c r="N36" i="1" s="1"/>
  <c r="L36" i="1"/>
  <c r="H155" i="2"/>
  <c r="X37" i="3" l="1"/>
  <c r="P36" i="1" s="1"/>
  <c r="L155" i="2"/>
  <c r="I155" i="2"/>
  <c r="G156" i="2" l="1"/>
  <c r="K156" i="2" s="1"/>
  <c r="K39" i="3" s="1"/>
  <c r="Z39" i="3" s="1"/>
  <c r="AB39" i="3" s="1"/>
  <c r="AC39" i="3" s="1"/>
  <c r="S39" i="3" s="1"/>
  <c r="H38" i="3"/>
  <c r="I38" i="3" s="1"/>
  <c r="L38" i="3"/>
  <c r="O38" i="3" s="1"/>
  <c r="R38" i="3" s="1"/>
  <c r="T38" i="3" s="1"/>
  <c r="M155" i="2"/>
  <c r="M37" i="1" l="1"/>
  <c r="W38" i="3"/>
  <c r="O37" i="1" s="1"/>
  <c r="L37" i="1"/>
  <c r="V38" i="3"/>
  <c r="N37" i="1" s="1"/>
  <c r="H156" i="2"/>
  <c r="X38" i="3" l="1"/>
  <c r="P37" i="1" s="1"/>
  <c r="L156" i="2"/>
  <c r="I156" i="2"/>
  <c r="H39" i="3" l="1"/>
  <c r="I39" i="3" s="1"/>
  <c r="G157" i="2"/>
  <c r="K157" i="2" s="1"/>
  <c r="K40" i="3" s="1"/>
  <c r="Z40" i="3" s="1"/>
  <c r="AB40" i="3" s="1"/>
  <c r="AC40" i="3" s="1"/>
  <c r="S40" i="3" s="1"/>
  <c r="L39" i="3"/>
  <c r="O39" i="3" s="1"/>
  <c r="R39" i="3" s="1"/>
  <c r="T39" i="3" s="1"/>
  <c r="M156" i="2"/>
  <c r="M38" i="1" l="1"/>
  <c r="W39" i="3"/>
  <c r="O38" i="1" s="1"/>
  <c r="L38" i="1"/>
  <c r="V39" i="3"/>
  <c r="N38" i="1" s="1"/>
  <c r="H157" i="2"/>
  <c r="X39" i="3" l="1"/>
  <c r="P38" i="1" s="1"/>
  <c r="L157" i="2"/>
  <c r="I157" i="2"/>
  <c r="H40" i="3" l="1"/>
  <c r="I40" i="3" s="1"/>
  <c r="G158" i="2"/>
  <c r="K158" i="2" s="1"/>
  <c r="K41" i="3" s="1"/>
  <c r="Z41" i="3" s="1"/>
  <c r="AB41" i="3" s="1"/>
  <c r="AC41" i="3" s="1"/>
  <c r="S41" i="3" s="1"/>
  <c r="L40" i="3"/>
  <c r="O40" i="3" s="1"/>
  <c r="R40" i="3" s="1"/>
  <c r="T40" i="3" s="1"/>
  <c r="M157" i="2"/>
  <c r="M39" i="1" l="1"/>
  <c r="W40" i="3"/>
  <c r="O39" i="1" s="1"/>
  <c r="L39" i="1"/>
  <c r="V40" i="3"/>
  <c r="N39" i="1" s="1"/>
  <c r="H158" i="2"/>
  <c r="X40" i="3" l="1"/>
  <c r="P39" i="1" s="1"/>
  <c r="L158" i="2"/>
  <c r="I158" i="2"/>
  <c r="G159" i="2" l="1"/>
  <c r="K159" i="2" s="1"/>
  <c r="H41" i="3"/>
  <c r="I41" i="3" s="1"/>
  <c r="L41" i="3"/>
  <c r="O41" i="3" s="1"/>
  <c r="R41" i="3" s="1"/>
  <c r="T41" i="3" s="1"/>
  <c r="M158" i="2"/>
  <c r="M40" i="1" l="1"/>
  <c r="W41" i="3"/>
  <c r="O40" i="1" s="1"/>
  <c r="L40" i="1"/>
  <c r="V41" i="3"/>
  <c r="N40" i="1" s="1"/>
  <c r="H159" i="2"/>
  <c r="X41" i="3" l="1"/>
  <c r="P40" i="1" s="1"/>
  <c r="L159" i="2"/>
  <c r="M159" i="2" s="1"/>
  <c r="I159" i="2"/>
  <c r="G160" i="2" l="1"/>
  <c r="K160" i="2" s="1"/>
  <c r="H160" i="2" l="1"/>
  <c r="L160" i="2" l="1"/>
  <c r="M160" i="2" s="1"/>
  <c r="I160" i="2"/>
  <c r="G161" i="2" l="1"/>
  <c r="K161" i="2" s="1"/>
  <c r="H161" i="2" l="1"/>
  <c r="L161" i="2" l="1"/>
  <c r="M161" i="2" s="1"/>
  <c r="I161" i="2"/>
  <c r="G162" i="2" l="1"/>
  <c r="K162" i="2" s="1"/>
  <c r="H162" i="2" l="1"/>
  <c r="L162" i="2" l="1"/>
  <c r="M162" i="2" s="1"/>
  <c r="I162" i="2"/>
  <c r="G163" i="2" l="1"/>
  <c r="K163" i="2" s="1"/>
  <c r="H163" i="2" l="1"/>
  <c r="L163" i="2" l="1"/>
  <c r="M163" i="2" s="1"/>
  <c r="I163" i="2"/>
  <c r="G164" i="2" l="1"/>
  <c r="K164" i="2" s="1"/>
  <c r="H164" i="2" l="1"/>
  <c r="L164" i="2" l="1"/>
  <c r="M164" i="2" s="1"/>
  <c r="I164" i="2"/>
  <c r="G165" i="2" l="1"/>
  <c r="K165" i="2" s="1"/>
  <c r="H165" i="2" l="1"/>
  <c r="L165" i="2" l="1"/>
  <c r="M165" i="2" s="1"/>
  <c r="I165" i="2"/>
  <c r="G166" i="2" l="1"/>
  <c r="K166" i="2" s="1"/>
  <c r="H166" i="2" l="1"/>
  <c r="L166" i="2" l="1"/>
  <c r="M166" i="2" s="1"/>
  <c r="I166" i="2"/>
  <c r="G167" i="2" l="1"/>
  <c r="K167" i="2" s="1"/>
  <c r="H167" i="2" l="1"/>
  <c r="L167" i="2" l="1"/>
  <c r="M167" i="2" s="1"/>
  <c r="I167" i="2"/>
  <c r="G168" i="2" l="1"/>
  <c r="K168" i="2" s="1"/>
  <c r="H168" i="2" l="1"/>
  <c r="L168" i="2" l="1"/>
  <c r="M168" i="2" s="1"/>
  <c r="I168" i="2"/>
  <c r="G169" i="2" l="1"/>
  <c r="K169" i="2" s="1"/>
  <c r="H169" i="2" l="1"/>
  <c r="L169" i="2" l="1"/>
  <c r="M169" i="2" s="1"/>
  <c r="I169" i="2"/>
  <c r="G170" i="2" l="1"/>
  <c r="K170" i="2" s="1"/>
  <c r="H170" i="2" l="1"/>
  <c r="L170" i="2" l="1"/>
  <c r="M170" i="2" s="1"/>
  <c r="I170" i="2"/>
  <c r="G171" i="2" l="1"/>
  <c r="K171" i="2" s="1"/>
  <c r="H171" i="2" l="1"/>
  <c r="L171" i="2" l="1"/>
  <c r="M171" i="2" s="1"/>
  <c r="I171" i="2"/>
  <c r="G172" i="2" l="1"/>
  <c r="K172" i="2" s="1"/>
  <c r="H172" i="2" l="1"/>
  <c r="L172" i="2" l="1"/>
  <c r="M172" i="2" s="1"/>
  <c r="I172" i="2"/>
  <c r="G173" i="2" l="1"/>
  <c r="K173" i="2" s="1"/>
  <c r="H173" i="2" l="1"/>
  <c r="L173" i="2" l="1"/>
  <c r="M173" i="2" s="1"/>
  <c r="I173" i="2"/>
  <c r="G174" i="2" l="1"/>
  <c r="K174" i="2" s="1"/>
  <c r="H174" i="2" l="1"/>
  <c r="L174" i="2" l="1"/>
  <c r="M174" i="2" s="1"/>
  <c r="I174" i="2"/>
  <c r="G175" i="2" l="1"/>
  <c r="K175" i="2" s="1"/>
  <c r="H175" i="2" l="1"/>
  <c r="L175" i="2" l="1"/>
  <c r="M175" i="2" s="1"/>
  <c r="I175" i="2"/>
  <c r="G176" i="2" l="1"/>
  <c r="K176" i="2" s="1"/>
  <c r="H176" i="2" l="1"/>
  <c r="L176" i="2" l="1"/>
  <c r="M176" i="2" s="1"/>
  <c r="I176" i="2"/>
  <c r="G177" i="2" l="1"/>
  <c r="K177" i="2" s="1"/>
  <c r="H177" i="2" l="1"/>
  <c r="L177" i="2" l="1"/>
  <c r="M177" i="2" s="1"/>
  <c r="I177" i="2"/>
  <c r="G178" i="2" l="1"/>
  <c r="K178" i="2" s="1"/>
  <c r="H178" i="2" l="1"/>
  <c r="L178" i="2" l="1"/>
  <c r="M178" i="2" s="1"/>
  <c r="I178" i="2"/>
  <c r="G179" i="2" l="1"/>
  <c r="K179" i="2" s="1"/>
  <c r="H179" i="2" l="1"/>
  <c r="L179" i="2" l="1"/>
  <c r="M179" i="2" s="1"/>
  <c r="I179" i="2"/>
  <c r="G180" i="2" l="1"/>
  <c r="K180" i="2" s="1"/>
  <c r="H180" i="2" l="1"/>
  <c r="L180" i="2" l="1"/>
  <c r="M180" i="2" s="1"/>
  <c r="I180" i="2"/>
  <c r="G181" i="2" l="1"/>
  <c r="K181" i="2" s="1"/>
  <c r="H181" i="2" l="1"/>
  <c r="L181" i="2" l="1"/>
  <c r="M181" i="2" s="1"/>
  <c r="I181" i="2"/>
  <c r="G182" i="2" l="1"/>
  <c r="K182" i="2" s="1"/>
  <c r="H182" i="2" l="1"/>
  <c r="L182" i="2" l="1"/>
  <c r="M182" i="2" s="1"/>
  <c r="I182" i="2"/>
  <c r="G183" i="2" l="1"/>
  <c r="K183" i="2" s="1"/>
  <c r="H183" i="2" l="1"/>
  <c r="L183" i="2" l="1"/>
  <c r="M183" i="2" s="1"/>
  <c r="I183" i="2"/>
  <c r="G184" i="2" l="1"/>
  <c r="K184" i="2" s="1"/>
  <c r="H184" i="2" l="1"/>
  <c r="L184" i="2" l="1"/>
  <c r="M184" i="2" s="1"/>
  <c r="I184" i="2"/>
  <c r="G185" i="2" l="1"/>
  <c r="K185" i="2" s="1"/>
  <c r="H185" i="2" l="1"/>
  <c r="L185" i="2" l="1"/>
  <c r="M185" i="2" s="1"/>
  <c r="I185" i="2"/>
  <c r="G186" i="2" l="1"/>
  <c r="K186" i="2" s="1"/>
  <c r="H186" i="2" l="1"/>
  <c r="L186" i="2" l="1"/>
  <c r="M186" i="2" s="1"/>
  <c r="I186" i="2"/>
  <c r="G187" i="2" l="1"/>
  <c r="K187" i="2" s="1"/>
  <c r="H187" i="2" l="1"/>
  <c r="L187" i="2" l="1"/>
  <c r="M187" i="2" s="1"/>
  <c r="I187" i="2"/>
  <c r="G188" i="2" l="1"/>
  <c r="K188" i="2" s="1"/>
  <c r="H188" i="2" l="1"/>
  <c r="L188" i="2" l="1"/>
  <c r="M188" i="2" s="1"/>
  <c r="I188" i="2"/>
  <c r="G189" i="2" l="1"/>
  <c r="K189" i="2" s="1"/>
  <c r="H189" i="2" l="1"/>
  <c r="L189" i="2" l="1"/>
  <c r="M189" i="2" s="1"/>
  <c r="I189" i="2"/>
  <c r="G190" i="2" l="1"/>
  <c r="K190" i="2" s="1"/>
  <c r="H190" i="2" l="1"/>
  <c r="L190" i="2" l="1"/>
  <c r="M190" i="2" s="1"/>
  <c r="I190" i="2"/>
  <c r="G191" i="2" l="1"/>
  <c r="K191" i="2" s="1"/>
  <c r="H191" i="2" l="1"/>
  <c r="L191" i="2" l="1"/>
  <c r="M191" i="2" s="1"/>
  <c r="I191" i="2"/>
  <c r="G192" i="2" l="1"/>
  <c r="K192" i="2" s="1"/>
  <c r="H192" i="2" l="1"/>
  <c r="L192" i="2" l="1"/>
  <c r="M192" i="2" s="1"/>
  <c r="I192" i="2"/>
  <c r="G193" i="2" l="1"/>
  <c r="K193" i="2" s="1"/>
  <c r="H193" i="2" l="1"/>
  <c r="L193" i="2" l="1"/>
  <c r="M193" i="2" s="1"/>
  <c r="I193" i="2"/>
  <c r="G194" i="2" l="1"/>
  <c r="K194" i="2" s="1"/>
  <c r="H194" i="2" l="1"/>
  <c r="L194" i="2" l="1"/>
  <c r="M194" i="2" s="1"/>
  <c r="I194" i="2"/>
  <c r="G195" i="2" l="1"/>
  <c r="K195" i="2" s="1"/>
  <c r="H195" i="2" l="1"/>
  <c r="L195" i="2" l="1"/>
  <c r="M195" i="2" s="1"/>
  <c r="I195" i="2"/>
  <c r="G196" i="2" l="1"/>
  <c r="K196" i="2" s="1"/>
  <c r="H196" i="2" l="1"/>
  <c r="L196" i="2" l="1"/>
  <c r="M196" i="2" s="1"/>
  <c r="I196" i="2"/>
  <c r="G197" i="2" l="1"/>
  <c r="K197" i="2" s="1"/>
  <c r="H197" i="2" l="1"/>
  <c r="L197" i="2" l="1"/>
  <c r="M197" i="2" s="1"/>
  <c r="I197" i="2"/>
  <c r="G198" i="2" l="1"/>
  <c r="K198" i="2" s="1"/>
  <c r="H198" i="2" l="1"/>
  <c r="L198" i="2" l="1"/>
  <c r="M198" i="2" s="1"/>
  <c r="I198" i="2"/>
  <c r="G199" i="2" l="1"/>
  <c r="K199" i="2" s="1"/>
  <c r="H199" i="2" l="1"/>
  <c r="L199" i="2" l="1"/>
  <c r="M199" i="2" s="1"/>
  <c r="I199" i="2"/>
  <c r="G200" i="2" l="1"/>
  <c r="K200" i="2" s="1"/>
  <c r="H200" i="2" l="1"/>
  <c r="L200" i="2" l="1"/>
  <c r="M200" i="2" s="1"/>
  <c r="I200" i="2"/>
  <c r="G201" i="2" l="1"/>
  <c r="K201" i="2" s="1"/>
  <c r="H201" i="2" l="1"/>
  <c r="L201" i="2" l="1"/>
  <c r="M201" i="2" s="1"/>
  <c r="I201" i="2"/>
  <c r="G202" i="2" l="1"/>
  <c r="K202" i="2" s="1"/>
  <c r="H202" i="2" l="1"/>
  <c r="L202" i="2" l="1"/>
  <c r="M202" i="2" s="1"/>
  <c r="I202" i="2"/>
  <c r="G203" i="2" l="1"/>
  <c r="K203" i="2" s="1"/>
  <c r="H203" i="2" l="1"/>
  <c r="L203" i="2" l="1"/>
  <c r="M203" i="2" s="1"/>
  <c r="I203" i="2"/>
  <c r="G204" i="2" l="1"/>
  <c r="K204" i="2" s="1"/>
  <c r="H204" i="2" l="1"/>
  <c r="L204" i="2" l="1"/>
  <c r="M204" i="2" s="1"/>
  <c r="I204" i="2"/>
  <c r="G205" i="2" l="1"/>
  <c r="K205" i="2" s="1"/>
  <c r="H205" i="2" l="1"/>
  <c r="L205" i="2" l="1"/>
  <c r="M205" i="2" s="1"/>
  <c r="I205" i="2"/>
  <c r="G206" i="2" l="1"/>
  <c r="K206" i="2" s="1"/>
  <c r="H206" i="2" l="1"/>
  <c r="L206" i="2" l="1"/>
  <c r="M206" i="2" s="1"/>
  <c r="I206" i="2"/>
  <c r="G207" i="2" l="1"/>
  <c r="K207" i="2" s="1"/>
  <c r="H207" i="2" l="1"/>
  <c r="L207" i="2" l="1"/>
  <c r="M207" i="2" s="1"/>
  <c r="I207" i="2"/>
  <c r="G208" i="2" l="1"/>
  <c r="K208" i="2" s="1"/>
  <c r="H208" i="2" l="1"/>
  <c r="L208" i="2" l="1"/>
  <c r="M208" i="2" s="1"/>
  <c r="I208" i="2"/>
  <c r="G209" i="2" l="1"/>
  <c r="K209" i="2" s="1"/>
  <c r="H209" i="2" l="1"/>
  <c r="L209" i="2" l="1"/>
  <c r="M209" i="2" s="1"/>
  <c r="I209" i="2"/>
  <c r="G210" i="2" l="1"/>
  <c r="K210" i="2" s="1"/>
  <c r="H210" i="2" l="1"/>
  <c r="L210" i="2" l="1"/>
  <c r="M210" i="2" s="1"/>
  <c r="I210" i="2"/>
  <c r="G211" i="2" l="1"/>
  <c r="K211" i="2" s="1"/>
  <c r="H211" i="2" l="1"/>
  <c r="L211" i="2" l="1"/>
  <c r="M211" i="2" s="1"/>
  <c r="I211" i="2"/>
  <c r="G212" i="2" l="1"/>
  <c r="K212" i="2" s="1"/>
  <c r="H212" i="2" l="1"/>
  <c r="L212" i="2" l="1"/>
  <c r="M212" i="2" s="1"/>
  <c r="I212" i="2"/>
  <c r="G213" i="2" l="1"/>
  <c r="K213" i="2" s="1"/>
  <c r="H213" i="2" l="1"/>
  <c r="L213" i="2" l="1"/>
  <c r="M213" i="2" s="1"/>
  <c r="I213" i="2"/>
  <c r="G214" i="2" l="1"/>
  <c r="K214" i="2" s="1"/>
  <c r="H214" i="2" l="1"/>
  <c r="L214" i="2" l="1"/>
  <c r="M214" i="2" s="1"/>
  <c r="I214" i="2"/>
  <c r="G215" i="2" l="1"/>
  <c r="K215" i="2" s="1"/>
  <c r="H215" i="2" l="1"/>
  <c r="L215" i="2" l="1"/>
  <c r="M215" i="2" s="1"/>
  <c r="I215" i="2"/>
  <c r="G216" i="2" l="1"/>
  <c r="K216" i="2" s="1"/>
  <c r="H216" i="2" l="1"/>
  <c r="L216" i="2" l="1"/>
  <c r="M216" i="2" s="1"/>
  <c r="I216" i="2"/>
  <c r="G217" i="2" l="1"/>
  <c r="K217" i="2" s="1"/>
  <c r="H217" i="2" l="1"/>
  <c r="L217" i="2" l="1"/>
  <c r="M217" i="2" s="1"/>
  <c r="I217" i="2"/>
  <c r="G218" i="2" l="1"/>
  <c r="K218" i="2" s="1"/>
  <c r="H218" i="2" l="1"/>
  <c r="L218" i="2" l="1"/>
  <c r="M218" i="2" s="1"/>
  <c r="I218" i="2"/>
  <c r="G219" i="2" l="1"/>
  <c r="K219" i="2" s="1"/>
  <c r="H219" i="2" l="1"/>
  <c r="L219" i="2" l="1"/>
  <c r="M219" i="2" s="1"/>
  <c r="I219" i="2"/>
  <c r="G220" i="2" l="1"/>
  <c r="K220" i="2" s="1"/>
  <c r="H220" i="2" l="1"/>
  <c r="L220" i="2" l="1"/>
  <c r="M220" i="2" s="1"/>
  <c r="I220" i="2"/>
  <c r="G221" i="2" l="1"/>
  <c r="K221" i="2" s="1"/>
  <c r="H221" i="2" l="1"/>
  <c r="L221" i="2" l="1"/>
  <c r="M221" i="2" s="1"/>
  <c r="I221" i="2"/>
  <c r="G222" i="2" l="1"/>
  <c r="K222" i="2" s="1"/>
  <c r="H222" i="2" l="1"/>
  <c r="L222" i="2" l="1"/>
  <c r="M222" i="2" s="1"/>
  <c r="I222" i="2"/>
  <c r="G223" i="2" l="1"/>
  <c r="K223" i="2" s="1"/>
  <c r="H223" i="2" l="1"/>
  <c r="L223" i="2" l="1"/>
  <c r="M223" i="2" s="1"/>
  <c r="I223" i="2"/>
  <c r="G224" i="2" l="1"/>
  <c r="K224" i="2" s="1"/>
  <c r="H224" i="2" l="1"/>
  <c r="L224" i="2" l="1"/>
  <c r="M224" i="2" s="1"/>
  <c r="I224" i="2"/>
  <c r="G225" i="2" l="1"/>
  <c r="K225" i="2" s="1"/>
  <c r="H225" i="2" l="1"/>
  <c r="L225" i="2" l="1"/>
  <c r="M225" i="2" s="1"/>
  <c r="I225" i="2"/>
  <c r="G226" i="2" l="1"/>
  <c r="K226" i="2" s="1"/>
  <c r="H226" i="2" l="1"/>
  <c r="L226" i="2" l="1"/>
  <c r="M226" i="2" s="1"/>
  <c r="I226" i="2"/>
  <c r="G227" i="2" l="1"/>
  <c r="K227" i="2" s="1"/>
  <c r="H227" i="2" l="1"/>
  <c r="L227" i="2" l="1"/>
  <c r="M227" i="2" s="1"/>
  <c r="I227" i="2"/>
  <c r="G228" i="2" l="1"/>
  <c r="K228" i="2" s="1"/>
  <c r="H228" i="2" l="1"/>
  <c r="L228" i="2" l="1"/>
  <c r="M228" i="2" s="1"/>
  <c r="I228" i="2"/>
  <c r="G229" i="2" l="1"/>
  <c r="K229" i="2" s="1"/>
  <c r="H229" i="2" l="1"/>
  <c r="L229" i="2" l="1"/>
  <c r="M229" i="2" s="1"/>
  <c r="I229" i="2"/>
  <c r="G230" i="2" l="1"/>
  <c r="K230" i="2" s="1"/>
  <c r="H230" i="2" l="1"/>
  <c r="L230" i="2" l="1"/>
  <c r="M230" i="2" s="1"/>
  <c r="I230" i="2"/>
  <c r="G231" i="2" l="1"/>
  <c r="K231" i="2" s="1"/>
  <c r="H231" i="2" l="1"/>
  <c r="L231" i="2" l="1"/>
  <c r="M231" i="2" s="1"/>
  <c r="I231" i="2"/>
  <c r="G232" i="2" l="1"/>
  <c r="K232" i="2" s="1"/>
  <c r="H232" i="2" l="1"/>
  <c r="L232" i="2" l="1"/>
  <c r="M232" i="2" s="1"/>
  <c r="I232" i="2"/>
  <c r="G233" i="2" l="1"/>
  <c r="K233" i="2" s="1"/>
  <c r="H233" i="2" l="1"/>
  <c r="L233" i="2" l="1"/>
  <c r="M233" i="2" s="1"/>
  <c r="I233" i="2"/>
  <c r="G234" i="2" l="1"/>
  <c r="K234" i="2" s="1"/>
  <c r="H234" i="2" l="1"/>
  <c r="L234" i="2" l="1"/>
  <c r="M234" i="2" s="1"/>
  <c r="I234" i="2"/>
  <c r="G235" i="2" l="1"/>
  <c r="K235" i="2" s="1"/>
  <c r="H235" i="2" l="1"/>
  <c r="L235" i="2" l="1"/>
  <c r="M235" i="2" s="1"/>
  <c r="I235" i="2"/>
  <c r="G236" i="2" l="1"/>
  <c r="K236" i="2" s="1"/>
  <c r="H236" i="2" l="1"/>
  <c r="L236" i="2" l="1"/>
  <c r="M236" i="2" s="1"/>
  <c r="I236" i="2"/>
  <c r="G237" i="2" l="1"/>
  <c r="K237" i="2" s="1"/>
  <c r="H237" i="2" l="1"/>
  <c r="L237" i="2" l="1"/>
  <c r="M237" i="2" s="1"/>
  <c r="I237" i="2"/>
  <c r="G238" i="2" l="1"/>
  <c r="K238" i="2" s="1"/>
  <c r="H238" i="2" l="1"/>
  <c r="L238" i="2" l="1"/>
  <c r="M238" i="2" s="1"/>
  <c r="I238" i="2"/>
  <c r="G239" i="2" l="1"/>
  <c r="K239" i="2" s="1"/>
  <c r="H239" i="2" l="1"/>
  <c r="L239" i="2" l="1"/>
  <c r="M239" i="2" s="1"/>
  <c r="I239" i="2"/>
  <c r="G240" i="2" l="1"/>
  <c r="K240" i="2" s="1"/>
  <c r="H240" i="2" l="1"/>
  <c r="L240" i="2" l="1"/>
  <c r="M240" i="2" s="1"/>
  <c r="I240" i="2"/>
  <c r="G241" i="2" l="1"/>
  <c r="K241" i="2" s="1"/>
  <c r="H241" i="2" l="1"/>
  <c r="L241" i="2" l="1"/>
  <c r="M241" i="2" s="1"/>
  <c r="I241" i="2"/>
  <c r="G242" i="2" l="1"/>
  <c r="K242" i="2" s="1"/>
  <c r="H242" i="2" l="1"/>
  <c r="L242" i="2" l="1"/>
  <c r="M242" i="2" s="1"/>
  <c r="I242" i="2"/>
  <c r="G243" i="2" l="1"/>
  <c r="K243" i="2" s="1"/>
  <c r="H243" i="2" l="1"/>
  <c r="L243" i="2" l="1"/>
  <c r="M243" i="2" s="1"/>
  <c r="I243" i="2"/>
  <c r="G244" i="2" l="1"/>
  <c r="K244" i="2" s="1"/>
  <c r="H244" i="2" l="1"/>
  <c r="L244" i="2" l="1"/>
  <c r="M244" i="2" s="1"/>
  <c r="I244" i="2"/>
  <c r="G245" i="2" l="1"/>
  <c r="K245" i="2" s="1"/>
  <c r="H245" i="2" l="1"/>
  <c r="L245" i="2" l="1"/>
  <c r="M245" i="2" s="1"/>
  <c r="I245" i="2"/>
  <c r="G246" i="2" l="1"/>
  <c r="K246" i="2" s="1"/>
  <c r="H246" i="2" l="1"/>
  <c r="L246" i="2" l="1"/>
  <c r="M246" i="2" s="1"/>
  <c r="I246" i="2"/>
  <c r="G247" i="2" l="1"/>
  <c r="K247" i="2" s="1"/>
  <c r="H247" i="2" l="1"/>
  <c r="L247" i="2" l="1"/>
  <c r="M247" i="2" s="1"/>
  <c r="I247" i="2"/>
  <c r="G248" i="2" l="1"/>
  <c r="K248" i="2" s="1"/>
  <c r="H248" i="2" l="1"/>
  <c r="L248" i="2" l="1"/>
  <c r="M248" i="2" s="1"/>
  <c r="I248" i="2"/>
  <c r="G249" i="2" l="1"/>
  <c r="K249" i="2" s="1"/>
  <c r="H249" i="2" l="1"/>
  <c r="L249" i="2" l="1"/>
  <c r="M249" i="2" s="1"/>
  <c r="I249" i="2"/>
  <c r="G250" i="2" l="1"/>
  <c r="K250" i="2" s="1"/>
  <c r="H250" i="2" l="1"/>
  <c r="L250" i="2" l="1"/>
  <c r="M250" i="2" s="1"/>
  <c r="I250" i="2"/>
  <c r="G251" i="2" l="1"/>
  <c r="K251" i="2" s="1"/>
  <c r="H251" i="2" l="1"/>
  <c r="L251" i="2" l="1"/>
  <c r="M251" i="2" s="1"/>
  <c r="I251" i="2"/>
  <c r="G252" i="2" l="1"/>
  <c r="K252" i="2" s="1"/>
  <c r="H252" i="2" l="1"/>
  <c r="L252" i="2" l="1"/>
  <c r="M252" i="2" s="1"/>
  <c r="I252" i="2"/>
  <c r="G253" i="2" l="1"/>
  <c r="K253" i="2" s="1"/>
  <c r="H253" i="2" l="1"/>
  <c r="L253" i="2" l="1"/>
  <c r="M253" i="2" s="1"/>
  <c r="I253" i="2"/>
  <c r="G254" i="2" l="1"/>
  <c r="K254" i="2" s="1"/>
  <c r="H254" i="2" l="1"/>
  <c r="L254" i="2" l="1"/>
  <c r="M254" i="2" s="1"/>
  <c r="I254" i="2"/>
  <c r="G255" i="2" l="1"/>
  <c r="K255" i="2" s="1"/>
  <c r="H255" i="2" l="1"/>
  <c r="L255" i="2" l="1"/>
  <c r="M255" i="2" s="1"/>
  <c r="I255" i="2"/>
  <c r="G256" i="2" l="1"/>
  <c r="K256" i="2" s="1"/>
  <c r="H256" i="2" l="1"/>
  <c r="L256" i="2" l="1"/>
  <c r="M256" i="2" s="1"/>
  <c r="I256" i="2"/>
  <c r="G257" i="2" l="1"/>
  <c r="K257" i="2" s="1"/>
  <c r="H257" i="2" l="1"/>
  <c r="L257" i="2" l="1"/>
  <c r="M257" i="2" s="1"/>
  <c r="I257" i="2"/>
  <c r="G258" i="2" l="1"/>
  <c r="K258" i="2" s="1"/>
  <c r="H258" i="2" l="1"/>
  <c r="L258" i="2" l="1"/>
  <c r="M258" i="2" s="1"/>
  <c r="I258" i="2"/>
  <c r="G259" i="2" l="1"/>
  <c r="K259" i="2" s="1"/>
  <c r="H259" i="2" l="1"/>
  <c r="L259" i="2" l="1"/>
  <c r="M259" i="2" s="1"/>
  <c r="I259" i="2"/>
  <c r="G260" i="2" l="1"/>
  <c r="K260" i="2" s="1"/>
  <c r="H260" i="2" l="1"/>
  <c r="L260" i="2" l="1"/>
  <c r="M260" i="2" s="1"/>
  <c r="I260" i="2"/>
  <c r="G261" i="2" l="1"/>
  <c r="K261" i="2" s="1"/>
  <c r="H261" i="2" l="1"/>
  <c r="L261" i="2" l="1"/>
  <c r="M261" i="2" s="1"/>
  <c r="I261" i="2"/>
  <c r="G262" i="2" l="1"/>
  <c r="K262" i="2" s="1"/>
  <c r="H262" i="2" l="1"/>
  <c r="L262" i="2" l="1"/>
  <c r="M262" i="2" s="1"/>
  <c r="I262" i="2"/>
  <c r="G263" i="2" l="1"/>
  <c r="K263" i="2" s="1"/>
  <c r="H263" i="2" l="1"/>
  <c r="L263" i="2" l="1"/>
  <c r="M263" i="2" s="1"/>
  <c r="I263" i="2"/>
  <c r="G264" i="2" l="1"/>
  <c r="K264" i="2" s="1"/>
  <c r="H264" i="2" l="1"/>
  <c r="L264" i="2" l="1"/>
  <c r="M264" i="2" s="1"/>
  <c r="I264" i="2"/>
  <c r="G265" i="2" l="1"/>
  <c r="K265" i="2" s="1"/>
  <c r="H265" i="2" l="1"/>
  <c r="L265" i="2" l="1"/>
  <c r="M265" i="2" s="1"/>
  <c r="I265" i="2"/>
  <c r="G266" i="2" l="1"/>
  <c r="K266" i="2" s="1"/>
  <c r="H266" i="2" l="1"/>
  <c r="L266" i="2" s="1"/>
  <c r="M266" i="2" s="1"/>
  <c r="I266" i="2" l="1"/>
  <c r="G267" i="2" s="1"/>
  <c r="K267" i="2" s="1"/>
  <c r="H267" i="2" l="1"/>
  <c r="L267" i="2" l="1"/>
  <c r="M267" i="2" s="1"/>
  <c r="I267" i="2"/>
  <c r="G268" i="2" l="1"/>
  <c r="K268" i="2" s="1"/>
  <c r="H268" i="2" l="1"/>
  <c r="L268" i="2" l="1"/>
  <c r="M268" i="2" s="1"/>
  <c r="I268" i="2"/>
  <c r="G269" i="2" l="1"/>
  <c r="K269" i="2" s="1"/>
  <c r="H269" i="2" l="1"/>
  <c r="L269" i="2" l="1"/>
  <c r="M269" i="2" s="1"/>
  <c r="I269" i="2"/>
  <c r="G270" i="2" l="1"/>
  <c r="K270" i="2" s="1"/>
  <c r="H270" i="2" l="1"/>
  <c r="L270" i="2" l="1"/>
  <c r="M270" i="2" s="1"/>
  <c r="I270" i="2"/>
  <c r="G271" i="2" l="1"/>
  <c r="K271" i="2" s="1"/>
  <c r="H271" i="2" l="1"/>
  <c r="L271" i="2" l="1"/>
  <c r="M271" i="2" s="1"/>
  <c r="I271" i="2"/>
  <c r="G272" i="2" l="1"/>
  <c r="K272" i="2" s="1"/>
  <c r="H272" i="2" l="1"/>
  <c r="L272" i="2" l="1"/>
  <c r="M272" i="2" s="1"/>
  <c r="I272" i="2"/>
  <c r="G273" i="2" l="1"/>
  <c r="K273" i="2" s="1"/>
  <c r="H273" i="2" l="1"/>
  <c r="L273" i="2" l="1"/>
  <c r="M273" i="2" s="1"/>
  <c r="I273" i="2"/>
  <c r="G274" i="2" l="1"/>
  <c r="K274" i="2" s="1"/>
  <c r="H274" i="2" l="1"/>
  <c r="L274" i="2" l="1"/>
  <c r="M274" i="2" s="1"/>
  <c r="I274" i="2"/>
  <c r="G275" i="2" l="1"/>
  <c r="K275" i="2" s="1"/>
  <c r="H275" i="2" l="1"/>
  <c r="L275" i="2" l="1"/>
  <c r="M275" i="2" s="1"/>
  <c r="I275" i="2"/>
  <c r="G276" i="2" l="1"/>
  <c r="K276" i="2" s="1"/>
  <c r="H276" i="2" l="1"/>
  <c r="L276" i="2" l="1"/>
  <c r="M276" i="2" s="1"/>
  <c r="I276" i="2"/>
  <c r="G277" i="2" l="1"/>
  <c r="K277" i="2" s="1"/>
  <c r="H277" i="2" l="1"/>
  <c r="L277" i="2" l="1"/>
  <c r="M277" i="2" s="1"/>
  <c r="I277" i="2"/>
  <c r="G278" i="2" l="1"/>
  <c r="K278" i="2" s="1"/>
  <c r="H278" i="2" l="1"/>
  <c r="L278" i="2" l="1"/>
  <c r="M278" i="2" s="1"/>
  <c r="I278" i="2"/>
  <c r="G279" i="2" l="1"/>
  <c r="K279" i="2" s="1"/>
  <c r="H279" i="2" l="1"/>
  <c r="L279" i="2" l="1"/>
  <c r="M279" i="2" s="1"/>
  <c r="I279" i="2"/>
  <c r="G280" i="2" l="1"/>
  <c r="K280" i="2" s="1"/>
  <c r="H280" i="2" l="1"/>
  <c r="L280" i="2" l="1"/>
  <c r="M280" i="2" s="1"/>
  <c r="I280" i="2"/>
  <c r="G281" i="2" l="1"/>
  <c r="K281" i="2" s="1"/>
  <c r="H281" i="2" l="1"/>
  <c r="L281" i="2" l="1"/>
  <c r="M281" i="2" s="1"/>
  <c r="I281" i="2"/>
  <c r="G282" i="2" l="1"/>
  <c r="K282" i="2" s="1"/>
  <c r="H282" i="2" l="1"/>
  <c r="L282" i="2" l="1"/>
  <c r="M282" i="2" s="1"/>
  <c r="I282" i="2"/>
  <c r="G283" i="2" l="1"/>
  <c r="K283" i="2" s="1"/>
  <c r="H283" i="2" l="1"/>
  <c r="L283" i="2" l="1"/>
  <c r="M283" i="2" s="1"/>
  <c r="I283" i="2"/>
  <c r="G284" i="2" l="1"/>
  <c r="K284" i="2" s="1"/>
  <c r="H284" i="2" l="1"/>
  <c r="L284" i="2" l="1"/>
  <c r="M284" i="2" s="1"/>
  <c r="I284" i="2"/>
  <c r="G285" i="2" l="1"/>
  <c r="K285" i="2" s="1"/>
  <c r="H285" i="2" l="1"/>
  <c r="L285" i="2" l="1"/>
  <c r="M285" i="2" s="1"/>
  <c r="I285" i="2"/>
  <c r="G286" i="2" l="1"/>
  <c r="K286" i="2" s="1"/>
  <c r="H286" i="2" l="1"/>
  <c r="L286" i="2" l="1"/>
  <c r="M286" i="2" s="1"/>
  <c r="I286" i="2"/>
  <c r="G287" i="2" l="1"/>
  <c r="K287" i="2" s="1"/>
  <c r="H287" i="2" l="1"/>
  <c r="L287" i="2" l="1"/>
  <c r="M287" i="2" s="1"/>
  <c r="I287" i="2"/>
  <c r="G288" i="2" l="1"/>
  <c r="K288" i="2" s="1"/>
  <c r="H288" i="2" l="1"/>
  <c r="L288" i="2" l="1"/>
  <c r="M288" i="2" s="1"/>
  <c r="I288" i="2"/>
  <c r="G289" i="2" l="1"/>
  <c r="K289" i="2" s="1"/>
  <c r="H289" i="2" l="1"/>
  <c r="L289" i="2" l="1"/>
  <c r="M289" i="2" s="1"/>
  <c r="I289" i="2"/>
  <c r="G290" i="2" l="1"/>
  <c r="K290" i="2" s="1"/>
  <c r="H290" i="2" l="1"/>
  <c r="L290" i="2" l="1"/>
  <c r="M290" i="2" s="1"/>
  <c r="I290" i="2"/>
  <c r="G291" i="2" l="1"/>
  <c r="K291" i="2" s="1"/>
  <c r="H291" i="2" l="1"/>
  <c r="L291" i="2" l="1"/>
  <c r="M291" i="2" s="1"/>
  <c r="I291" i="2"/>
  <c r="G292" i="2" l="1"/>
  <c r="K292" i="2" s="1"/>
  <c r="H292" i="2" l="1"/>
  <c r="L292" i="2" l="1"/>
  <c r="M292" i="2" s="1"/>
  <c r="I292" i="2"/>
  <c r="G293" i="2" l="1"/>
  <c r="K293" i="2" s="1"/>
  <c r="H293" i="2" l="1"/>
  <c r="L293" i="2" l="1"/>
  <c r="M293" i="2" s="1"/>
  <c r="I293" i="2"/>
  <c r="G294" i="2" l="1"/>
  <c r="K294" i="2" s="1"/>
  <c r="H294" i="2" l="1"/>
  <c r="L294" i="2" l="1"/>
  <c r="M294" i="2" s="1"/>
  <c r="I294" i="2"/>
  <c r="G295" i="2" l="1"/>
  <c r="K295" i="2" s="1"/>
  <c r="H295" i="2" l="1"/>
  <c r="L295" i="2" l="1"/>
  <c r="M295" i="2" s="1"/>
  <c r="I295" i="2"/>
  <c r="G296" i="2" l="1"/>
  <c r="K296" i="2" s="1"/>
  <c r="H296" i="2" l="1"/>
  <c r="L296" i="2" l="1"/>
  <c r="M296" i="2" s="1"/>
  <c r="I296" i="2"/>
  <c r="G297" i="2" l="1"/>
  <c r="K297" i="2" s="1"/>
  <c r="H297" i="2" l="1"/>
  <c r="L297" i="2" l="1"/>
  <c r="M297" i="2" s="1"/>
  <c r="I297" i="2"/>
  <c r="G298" i="2" l="1"/>
  <c r="K298" i="2" s="1"/>
  <c r="H298" i="2" l="1"/>
  <c r="L298" i="2" l="1"/>
  <c r="M298" i="2" s="1"/>
  <c r="I298" i="2"/>
  <c r="G299" i="2" l="1"/>
  <c r="K299" i="2" s="1"/>
  <c r="H299" i="2" l="1"/>
  <c r="L299" i="2" l="1"/>
  <c r="M299" i="2" s="1"/>
  <c r="I299" i="2"/>
  <c r="G300" i="2" l="1"/>
  <c r="K300" i="2" s="1"/>
  <c r="H300" i="2" l="1"/>
  <c r="L300" i="2" l="1"/>
  <c r="M300" i="2" s="1"/>
  <c r="I300" i="2"/>
  <c r="G301" i="2" l="1"/>
  <c r="K301" i="2" s="1"/>
  <c r="H301" i="2" l="1"/>
  <c r="L301" i="2" l="1"/>
  <c r="M301" i="2" s="1"/>
  <c r="I301" i="2"/>
  <c r="G302" i="2" l="1"/>
  <c r="K302" i="2" s="1"/>
  <c r="H302" i="2" l="1"/>
  <c r="L302" i="2" l="1"/>
  <c r="M302" i="2" s="1"/>
  <c r="I302" i="2"/>
  <c r="G303" i="2" l="1"/>
  <c r="K303" i="2" s="1"/>
  <c r="H303" i="2" l="1"/>
  <c r="L303" i="2" l="1"/>
  <c r="M303" i="2" s="1"/>
  <c r="I303" i="2"/>
  <c r="G304" i="2" l="1"/>
  <c r="K304" i="2" s="1"/>
  <c r="H304" i="2" l="1"/>
  <c r="L304" i="2" l="1"/>
  <c r="M304" i="2" s="1"/>
  <c r="I304" i="2"/>
  <c r="G305" i="2" l="1"/>
  <c r="K305" i="2" s="1"/>
  <c r="H305" i="2" l="1"/>
  <c r="L305" i="2" l="1"/>
  <c r="M305" i="2" s="1"/>
  <c r="I305" i="2"/>
  <c r="G306" i="2" l="1"/>
  <c r="K306" i="2" s="1"/>
  <c r="H306" i="2" l="1"/>
  <c r="L306" i="2" l="1"/>
  <c r="M306" i="2" s="1"/>
  <c r="I306" i="2"/>
  <c r="G307" i="2" l="1"/>
  <c r="K307" i="2" s="1"/>
  <c r="H307" i="2" l="1"/>
  <c r="L307" i="2" l="1"/>
  <c r="M307" i="2" s="1"/>
  <c r="I307" i="2"/>
  <c r="G308" i="2" l="1"/>
  <c r="K308" i="2" s="1"/>
  <c r="H308" i="2" l="1"/>
  <c r="L308" i="2" l="1"/>
  <c r="M308" i="2" s="1"/>
  <c r="I308" i="2"/>
  <c r="G309" i="2" l="1"/>
  <c r="K309" i="2" s="1"/>
  <c r="H309" i="2" l="1"/>
  <c r="L309" i="2" l="1"/>
  <c r="M309" i="2" s="1"/>
  <c r="I309" i="2"/>
  <c r="G310" i="2" l="1"/>
  <c r="K310" i="2" s="1"/>
  <c r="H310" i="2" l="1"/>
  <c r="L310" i="2" l="1"/>
  <c r="M310" i="2" s="1"/>
  <c r="I310" i="2"/>
  <c r="G311" i="2" l="1"/>
  <c r="K311" i="2" s="1"/>
  <c r="H311" i="2" l="1"/>
  <c r="L311" i="2" l="1"/>
  <c r="M311" i="2" s="1"/>
  <c r="I311" i="2"/>
  <c r="G312" i="2" l="1"/>
  <c r="K312" i="2" s="1"/>
  <c r="H312" i="2" l="1"/>
  <c r="L312" i="2" l="1"/>
  <c r="M312" i="2" s="1"/>
  <c r="I312" i="2"/>
  <c r="G313" i="2" l="1"/>
  <c r="K313" i="2" s="1"/>
  <c r="H313" i="2" l="1"/>
  <c r="L313" i="2" l="1"/>
  <c r="M313" i="2" s="1"/>
  <c r="I313" i="2"/>
  <c r="G314" i="2" l="1"/>
  <c r="K314" i="2" s="1"/>
  <c r="H314" i="2" l="1"/>
  <c r="L314" i="2" l="1"/>
  <c r="M314" i="2" s="1"/>
  <c r="I314" i="2"/>
  <c r="G315" i="2" l="1"/>
  <c r="K315" i="2" s="1"/>
  <c r="H315" i="2" l="1"/>
  <c r="L315" i="2" l="1"/>
  <c r="M315" i="2" s="1"/>
  <c r="I315" i="2"/>
  <c r="G316" i="2" l="1"/>
  <c r="K316" i="2" s="1"/>
  <c r="H316" i="2" l="1"/>
  <c r="L316" i="2" l="1"/>
  <c r="M316" i="2" s="1"/>
  <c r="I316" i="2"/>
  <c r="G317" i="2" l="1"/>
  <c r="K317" i="2" s="1"/>
  <c r="H317" i="2" l="1"/>
  <c r="L317" i="2" l="1"/>
  <c r="M317" i="2" s="1"/>
  <c r="I317" i="2"/>
  <c r="G318" i="2" l="1"/>
  <c r="K318" i="2" s="1"/>
  <c r="H318" i="2" l="1"/>
  <c r="L318" i="2" l="1"/>
  <c r="M318" i="2" s="1"/>
  <c r="I318" i="2"/>
  <c r="G319" i="2" l="1"/>
  <c r="K319" i="2" s="1"/>
  <c r="H319" i="2" l="1"/>
  <c r="L319" i="2" l="1"/>
  <c r="M319" i="2" s="1"/>
  <c r="I319" i="2"/>
  <c r="G320" i="2" l="1"/>
  <c r="K320" i="2" s="1"/>
  <c r="H320" i="2" l="1"/>
  <c r="L320" i="2" l="1"/>
  <c r="M320" i="2" s="1"/>
  <c r="I320" i="2"/>
  <c r="G321" i="2" l="1"/>
  <c r="K321" i="2" s="1"/>
  <c r="H321" i="2" l="1"/>
  <c r="L321" i="2" l="1"/>
  <c r="M321" i="2" s="1"/>
  <c r="I321" i="2"/>
  <c r="G322" i="2" l="1"/>
  <c r="K322" i="2" s="1"/>
  <c r="H322" i="2" l="1"/>
  <c r="L322" i="2" l="1"/>
  <c r="M322" i="2" s="1"/>
  <c r="I322" i="2"/>
  <c r="G323" i="2" l="1"/>
  <c r="K323" i="2" s="1"/>
  <c r="H323" i="2" l="1"/>
  <c r="L323" i="2" l="1"/>
  <c r="M323" i="2" s="1"/>
  <c r="I323" i="2"/>
  <c r="G324" i="2" l="1"/>
  <c r="K324" i="2" s="1"/>
  <c r="H324" i="2" l="1"/>
  <c r="L324" i="2" l="1"/>
  <c r="M324" i="2" s="1"/>
  <c r="I324" i="2"/>
  <c r="G325" i="2" l="1"/>
  <c r="K325" i="2" s="1"/>
  <c r="H325" i="2" l="1"/>
  <c r="L325" i="2" l="1"/>
  <c r="M325" i="2" s="1"/>
  <c r="I325" i="2"/>
  <c r="G326" i="2" l="1"/>
  <c r="K326" i="2" s="1"/>
  <c r="H326" i="2" l="1"/>
  <c r="L326" i="2" l="1"/>
  <c r="M326" i="2" s="1"/>
  <c r="I326" i="2"/>
  <c r="G327" i="2" l="1"/>
  <c r="K327" i="2" s="1"/>
  <c r="H327" i="2" l="1"/>
  <c r="L327" i="2" l="1"/>
  <c r="M327" i="2" s="1"/>
  <c r="I327" i="2"/>
  <c r="G328" i="2" l="1"/>
  <c r="K328" i="2" s="1"/>
  <c r="H328" i="2" l="1"/>
  <c r="L328" i="2" l="1"/>
  <c r="M328" i="2" s="1"/>
  <c r="I328" i="2"/>
  <c r="G329" i="2" l="1"/>
  <c r="K329" i="2" s="1"/>
  <c r="H329" i="2" l="1"/>
  <c r="L329" i="2" l="1"/>
  <c r="M329" i="2" s="1"/>
  <c r="I329" i="2"/>
  <c r="G330" i="2" l="1"/>
  <c r="K330" i="2" s="1"/>
  <c r="H330" i="2" l="1"/>
  <c r="L330" i="2" l="1"/>
  <c r="M330" i="2" s="1"/>
  <c r="I330" i="2"/>
  <c r="G331" i="2" l="1"/>
  <c r="K331" i="2" s="1"/>
  <c r="H331" i="2" l="1"/>
  <c r="L331" i="2" l="1"/>
  <c r="M331" i="2" s="1"/>
  <c r="I331" i="2"/>
  <c r="G332" i="2" l="1"/>
  <c r="K332" i="2" s="1"/>
  <c r="H332" i="2" l="1"/>
  <c r="L332" i="2" l="1"/>
  <c r="M332" i="2" s="1"/>
  <c r="I332" i="2"/>
  <c r="G333" i="2" l="1"/>
  <c r="K333" i="2" s="1"/>
  <c r="H333" i="2" l="1"/>
  <c r="L333" i="2" l="1"/>
  <c r="M333" i="2" s="1"/>
  <c r="I333" i="2"/>
  <c r="G334" i="2" l="1"/>
  <c r="K334" i="2" s="1"/>
  <c r="H334" i="2" l="1"/>
  <c r="L334" i="2" l="1"/>
  <c r="M334" i="2" s="1"/>
  <c r="I334" i="2"/>
  <c r="G335" i="2" l="1"/>
  <c r="K335" i="2" s="1"/>
  <c r="H335" i="2" l="1"/>
  <c r="L335" i="2" l="1"/>
  <c r="M335" i="2" s="1"/>
  <c r="I335" i="2"/>
  <c r="G336" i="2" l="1"/>
  <c r="K336" i="2" s="1"/>
  <c r="H336" i="2" l="1"/>
  <c r="L336" i="2" l="1"/>
  <c r="M336" i="2" s="1"/>
  <c r="I336" i="2"/>
  <c r="G337" i="2" l="1"/>
  <c r="K337" i="2" s="1"/>
  <c r="H337" i="2" l="1"/>
  <c r="L337" i="2" l="1"/>
  <c r="M337" i="2" s="1"/>
  <c r="I337" i="2"/>
  <c r="G338" i="2" l="1"/>
  <c r="K338" i="2" s="1"/>
  <c r="H338" i="2" l="1"/>
  <c r="L338" i="2" l="1"/>
  <c r="M338" i="2" s="1"/>
  <c r="I338" i="2"/>
  <c r="G339" i="2" l="1"/>
  <c r="K339" i="2" s="1"/>
  <c r="H339" i="2" l="1"/>
  <c r="L339" i="2" l="1"/>
  <c r="M339" i="2" s="1"/>
  <c r="I339" i="2"/>
  <c r="G340" i="2" l="1"/>
  <c r="K340" i="2" s="1"/>
  <c r="H340" i="2" l="1"/>
  <c r="L340" i="2" l="1"/>
  <c r="M340" i="2" s="1"/>
  <c r="I340" i="2"/>
  <c r="G341" i="2" l="1"/>
  <c r="K341" i="2" s="1"/>
  <c r="H341" i="2" l="1"/>
  <c r="L341" i="2" l="1"/>
  <c r="M341" i="2" s="1"/>
  <c r="I341" i="2"/>
  <c r="G342" i="2" l="1"/>
  <c r="K342" i="2" s="1"/>
  <c r="H342" i="2" l="1"/>
  <c r="L342" i="2" l="1"/>
  <c r="M342" i="2" s="1"/>
  <c r="I342" i="2"/>
  <c r="G343" i="2" l="1"/>
  <c r="K343" i="2" s="1"/>
  <c r="H343" i="2" l="1"/>
  <c r="L343" i="2" l="1"/>
  <c r="M343" i="2" s="1"/>
  <c r="I343" i="2"/>
  <c r="G344" i="2" l="1"/>
  <c r="K344" i="2" s="1"/>
  <c r="H344" i="2" l="1"/>
  <c r="L344" i="2" l="1"/>
  <c r="M344" i="2" s="1"/>
  <c r="I344" i="2"/>
  <c r="G345" i="2" l="1"/>
  <c r="K345" i="2" s="1"/>
  <c r="H345" i="2" l="1"/>
  <c r="L345" i="2" l="1"/>
  <c r="M345" i="2" s="1"/>
  <c r="I345" i="2"/>
  <c r="G346" i="2" l="1"/>
  <c r="K346" i="2" s="1"/>
  <c r="H346" i="2" l="1"/>
  <c r="L346" i="2" l="1"/>
  <c r="M346" i="2" s="1"/>
  <c r="I346" i="2"/>
  <c r="G347" i="2" l="1"/>
  <c r="K347" i="2" s="1"/>
  <c r="H347" i="2" l="1"/>
  <c r="L347" i="2" l="1"/>
  <c r="M347" i="2" s="1"/>
  <c r="I347" i="2"/>
  <c r="G348" i="2" l="1"/>
  <c r="K348" i="2" s="1"/>
  <c r="H348" i="2" l="1"/>
  <c r="L348" i="2" l="1"/>
  <c r="M348" i="2" s="1"/>
  <c r="I348" i="2"/>
  <c r="G349" i="2" l="1"/>
  <c r="K349" i="2" s="1"/>
  <c r="H349" i="2" l="1"/>
  <c r="L349" i="2" l="1"/>
  <c r="M349" i="2" s="1"/>
  <c r="I349" i="2"/>
  <c r="G350" i="2" l="1"/>
  <c r="K350" i="2" s="1"/>
  <c r="H350" i="2" l="1"/>
  <c r="L350" i="2" l="1"/>
  <c r="M350" i="2" s="1"/>
  <c r="I350" i="2"/>
  <c r="G351" i="2" l="1"/>
  <c r="K351" i="2" s="1"/>
  <c r="H351" i="2" l="1"/>
  <c r="L351" i="2" l="1"/>
  <c r="M351" i="2" s="1"/>
  <c r="I351" i="2"/>
  <c r="G352" i="2" l="1"/>
  <c r="K352" i="2" s="1"/>
  <c r="H352" i="2" l="1"/>
  <c r="L352" i="2" l="1"/>
  <c r="M352" i="2" s="1"/>
  <c r="I352" i="2"/>
  <c r="G353" i="2" l="1"/>
  <c r="K353" i="2" s="1"/>
  <c r="H353" i="2" l="1"/>
  <c r="L353" i="2" l="1"/>
  <c r="M353" i="2" s="1"/>
  <c r="I353" i="2"/>
  <c r="G354" i="2" l="1"/>
  <c r="K354" i="2" s="1"/>
  <c r="H354" i="2" l="1"/>
  <c r="L354" i="2" l="1"/>
  <c r="M354" i="2" s="1"/>
  <c r="I354" i="2"/>
  <c r="G355" i="2" l="1"/>
  <c r="K355" i="2" s="1"/>
  <c r="H355" i="2" l="1"/>
  <c r="L355" i="2" l="1"/>
  <c r="M355" i="2" s="1"/>
  <c r="I355" i="2"/>
  <c r="G356" i="2" l="1"/>
  <c r="K356" i="2" s="1"/>
  <c r="H356" i="2" l="1"/>
  <c r="L356" i="2" l="1"/>
  <c r="M356" i="2" s="1"/>
  <c r="I356" i="2"/>
  <c r="G357" i="2" l="1"/>
  <c r="K357" i="2" s="1"/>
  <c r="H357" i="2" l="1"/>
  <c r="L357" i="2" l="1"/>
  <c r="M357" i="2" s="1"/>
  <c r="I357" i="2"/>
  <c r="G358" i="2" l="1"/>
  <c r="K358" i="2" s="1"/>
  <c r="H358" i="2" l="1"/>
  <c r="L358" i="2" l="1"/>
  <c r="M358" i="2" s="1"/>
  <c r="I358" i="2"/>
  <c r="G359" i="2" l="1"/>
  <c r="K359" i="2" s="1"/>
  <c r="H359" i="2" l="1"/>
  <c r="L359" i="2" l="1"/>
  <c r="M359" i="2" s="1"/>
  <c r="I359" i="2"/>
  <c r="G360" i="2" l="1"/>
  <c r="K360" i="2" s="1"/>
  <c r="H360" i="2" l="1"/>
  <c r="L360" i="2" l="1"/>
  <c r="M360" i="2" s="1"/>
  <c r="I360" i="2"/>
  <c r="G361" i="2" l="1"/>
  <c r="K361" i="2" s="1"/>
  <c r="H361" i="2" l="1"/>
  <c r="L361" i="2" l="1"/>
  <c r="M361" i="2" s="1"/>
  <c r="I361" i="2"/>
  <c r="G362" i="2" l="1"/>
  <c r="K362" i="2" s="1"/>
  <c r="H362" i="2" l="1"/>
  <c r="L362" i="2" l="1"/>
  <c r="M362" i="2" s="1"/>
  <c r="I362" i="2"/>
</calcChain>
</file>

<file path=xl/sharedStrings.xml><?xml version="1.0" encoding="utf-8"?>
<sst xmlns="http://schemas.openxmlformats.org/spreadsheetml/2006/main" count="149" uniqueCount="129">
  <si>
    <t>Down payment</t>
  </si>
  <si>
    <t>Purchase price</t>
  </si>
  <si>
    <t>Interest Rate</t>
  </si>
  <si>
    <t>Monthly HOA</t>
  </si>
  <si>
    <t>Loan Amount</t>
  </si>
  <si>
    <t>Loan Value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</si>
  <si>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</si>
  <si>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</si>
  <si>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</si>
  <si>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</si>
  <si>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</si>
  <si>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</si>
  <si>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</si>
  <si>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</si>
  <si>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</si>
  <si>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</si>
  <si>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Y11</t>
  </si>
  <si>
    <t>Y12</t>
  </si>
  <si>
    <t>Y20</t>
  </si>
  <si>
    <t>Y30</t>
  </si>
  <si>
    <t>Y22</t>
  </si>
  <si>
    <t>Interest Payment</t>
  </si>
  <si>
    <t>Principal Payment</t>
  </si>
  <si>
    <t xml:space="preserve">Remaining Balance </t>
  </si>
  <si>
    <t>Y13</t>
  </si>
  <si>
    <t>Y23</t>
  </si>
  <si>
    <t>Y14</t>
  </si>
  <si>
    <t>Y24</t>
  </si>
  <si>
    <t>Y15</t>
  </si>
  <si>
    <t>Y25</t>
  </si>
  <si>
    <t>Y16</t>
  </si>
  <si>
    <t>Y17</t>
  </si>
  <si>
    <t>Y18</t>
  </si>
  <si>
    <t>Y19</t>
  </si>
  <si>
    <t>Y21</t>
  </si>
  <si>
    <t>Y26</t>
  </si>
  <si>
    <t>Y27</t>
  </si>
  <si>
    <t>Y28</t>
  </si>
  <si>
    <t>Y29</t>
  </si>
  <si>
    <t>Cumulative Interest Paid</t>
  </si>
  <si>
    <t>Cumulative Principal Paid</t>
  </si>
  <si>
    <t>Cum Total Paid</t>
  </si>
  <si>
    <t>Net Costs wrt Renting</t>
  </si>
  <si>
    <t>Total ROI</t>
  </si>
  <si>
    <t>Annualized ROI</t>
  </si>
  <si>
    <t>Cumulative Expenses</t>
  </si>
  <si>
    <t>Loan Balance</t>
  </si>
  <si>
    <t>Net Revenue at Sale</t>
  </si>
  <si>
    <t>[-]</t>
  </si>
  <si>
    <t>Total P/L</t>
  </si>
  <si>
    <t>Initial Principal</t>
  </si>
  <si>
    <t xml:space="preserve">Initial Interest </t>
  </si>
  <si>
    <t>Purchase Price:</t>
  </si>
  <si>
    <t>Total Monthly</t>
  </si>
  <si>
    <t>Year</t>
  </si>
  <si>
    <t>Monthly Loan Payment</t>
  </si>
  <si>
    <t>Transaction Fees</t>
  </si>
  <si>
    <t>Growth ATF</t>
  </si>
  <si>
    <t>ROI</t>
  </si>
  <si>
    <t>Tax Adjustment</t>
  </si>
  <si>
    <t>Annual Tax Savings</t>
  </si>
  <si>
    <t>Total Growth</t>
  </si>
  <si>
    <t xml:space="preserve">Down Payment: </t>
  </si>
  <si>
    <t>%</t>
  </si>
  <si>
    <t>Loan Amortization:</t>
  </si>
  <si>
    <t>Interest Rate:</t>
  </si>
  <si>
    <t>Investment Analysis:</t>
  </si>
  <si>
    <t>Transaction Fees:</t>
  </si>
  <si>
    <t>Projected RE Growth:</t>
  </si>
  <si>
    <t>Standard Deduction:</t>
  </si>
  <si>
    <t>Added Tax Benefit:</t>
  </si>
  <si>
    <t>Initial Monthly interest:</t>
  </si>
  <si>
    <t>Monthly Tax</t>
  </si>
  <si>
    <t>Monthly Insurance</t>
  </si>
  <si>
    <t>OVERVIEW</t>
  </si>
  <si>
    <t>Current Valuation:</t>
  </si>
  <si>
    <t>Property Valuation:</t>
  </si>
  <si>
    <t>SUMMARY:</t>
  </si>
  <si>
    <t>Net Revenue At Sale</t>
  </si>
  <si>
    <t>Home Value</t>
  </si>
  <si>
    <t>Annual Loan Interest</t>
  </si>
  <si>
    <t>Projected Rent Growth:</t>
  </si>
  <si>
    <t>Total Cost of Revenue</t>
  </si>
  <si>
    <t>Home Value Projection</t>
  </si>
  <si>
    <t>Revenue After Taxes and Fees</t>
  </si>
  <si>
    <t>Sale Revenue ATF</t>
  </si>
  <si>
    <t>Total Payments</t>
  </si>
  <si>
    <t>Equivalent Rent:</t>
  </si>
  <si>
    <t>Equivalent Rent</t>
  </si>
  <si>
    <t>Additional Annual Cost</t>
  </si>
  <si>
    <t>Cum Loan Interest Paid</t>
  </si>
  <si>
    <t>Cum Principal Pmnts</t>
  </si>
  <si>
    <t>Cum Additional Cost</t>
  </si>
  <si>
    <t>Total Additional (/Month)*</t>
  </si>
  <si>
    <t>Annual Equivalnet Rent</t>
  </si>
  <si>
    <t>Cum Equivalent Rent</t>
  </si>
  <si>
    <t>Down Payment:</t>
  </si>
  <si>
    <t>Annual Property Tax</t>
  </si>
  <si>
    <t>Property Tax Rate:</t>
  </si>
  <si>
    <t>Marginal Income Tax Rate:</t>
  </si>
  <si>
    <t>Effective Deductible Amount</t>
  </si>
  <si>
    <t>Income Tax Rate:</t>
  </si>
  <si>
    <t>Additional Monthly Rate:</t>
  </si>
  <si>
    <t>Amortization Table</t>
  </si>
  <si>
    <t>Cum Tax Savings</t>
  </si>
  <si>
    <t>Additional Monthly Prepayment:</t>
  </si>
  <si>
    <t>(After 1 year)</t>
  </si>
  <si>
    <t>(After 12 Months)</t>
  </si>
  <si>
    <t>(After 1 month)</t>
  </si>
  <si>
    <t>Fixed Monthly Payment</t>
  </si>
  <si>
    <t>Loan Details:</t>
  </si>
  <si>
    <t>MODEL INPUTS:</t>
  </si>
  <si>
    <t>Projected Annual Rent Growth:</t>
  </si>
  <si>
    <t>Projected Annual RE Growth:</t>
  </si>
  <si>
    <t>Current Property Valuation:</t>
  </si>
  <si>
    <t>Cost of Revenue (w/r/t Rent)</t>
  </si>
  <si>
    <t>$</t>
  </si>
  <si>
    <t>Additional Expenses*:</t>
  </si>
  <si>
    <t>Annual Property Tax:</t>
  </si>
  <si>
    <t>Annual Insurance:</t>
  </si>
  <si>
    <t>Maintentance, other Misc (Annual):</t>
  </si>
  <si>
    <t>Annual HOA:</t>
  </si>
  <si>
    <t>Annual Misc:</t>
  </si>
  <si>
    <t>Other Misc Monthly</t>
  </si>
  <si>
    <t>Total P/L:</t>
  </si>
  <si>
    <t>Annual Insurance</t>
  </si>
  <si>
    <t>Initial Additional Expenses*:</t>
  </si>
  <si>
    <t>Initial Monthly Loss (Interest+Expenses)</t>
  </si>
  <si>
    <t>DO NOT MOVE ANYTHING IN THE ABOVE BOX!! (edit only)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</si>
</sst>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  <numFmt numFmtId="165" formatCode="&quot;$&quot;#,##0.00"/>
    <numFmt numFmtId="166" formatCode="0.000%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double">
        <color rgb="FF3F3F3F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5" fillId="3" borderId="3" applyNumberFormat="0" applyAlignment="0" applyProtection="0"/>
  </cellStyleXfs>
  <cellXfs count="93">
    <xf numFmtId="0" fontId="0" fillId="0" borderId="0" xfId="0"/>
    <xf numFmtId="44" fontId="0" fillId="0" borderId="0" xfId="1" applyFont="1"/>
    <xf numFmtId="9" fontId="0" fillId="0" borderId="0" xfId="2" applyFont="1"/>
    <xf numFmtId="10" fontId="0" fillId="0" borderId="0" xfId="0" applyNumberFormat="1"/>
    <xf numFmtId="44" fontId="0" fillId="0" borderId="0" xfId="0" applyNumberFormat="1"/>
    <xf numFmtId="0" fontId="3" fillId="0" borderId="0" xfId="0" applyFont="1"/>
    <xf numFmtId="10" fontId="0" fillId="0" borderId="0" xfId="2" applyNumberFormat="1" applyFont="1"/>
    <xf numFmtId="44" fontId="3" fillId="0" borderId="0" xfId="1" applyFont="1"/>
    <xf numFmtId="0" fontId="3" fillId="0" borderId="2" xfId="0" applyFont="1" applyBorder="1"/>
    <xf numFmtId="44" fontId="3" fillId="0" borderId="2" xfId="1" applyFont="1" applyBorder="1"/>
    <xf numFmtId="44" fontId="1" fillId="0" borderId="0" xfId="1" applyFont="1"/>
    <xf numFmtId="44" fontId="2" fillId="2" borderId="1" xfId="3" applyNumberFormat="1"/>
    <xf numFmtId="8" fontId="0" fillId="0" borderId="0" xfId="0" applyNumberFormat="1"/>
    <xf numFmtId="10" fontId="5" fillId="3" borderId="3" xfId="4" applyNumberFormat="1"/>
    <xf numFmtId="8" fontId="0" fillId="0" borderId="0" xfId="1" applyNumberFormat="1" applyFont="1"/>
    <xf numFmtId="0" fontId="0" fillId="0" borderId="4" xfId="0" applyBorder="1"/>
    <xf numFmtId="0" fontId="0" fillId="0" borderId="2" xfId="0" applyBorder="1"/>
    <xf numFmtId="0" fontId="0" fillId="0" borderId="5" xfId="0" applyBorder="1"/>
    <xf numFmtId="44" fontId="0" fillId="0" borderId="6" xfId="0" applyNumberFormat="1" applyBorder="1"/>
    <xf numFmtId="44" fontId="0" fillId="0" borderId="7" xfId="0" applyNumberFormat="1" applyBorder="1"/>
    <xf numFmtId="0" fontId="5" fillId="4" borderId="3" xfId="4" applyFill="1"/>
    <xf numFmtId="0" fontId="3" fillId="0" borderId="5" xfId="0" applyFont="1" applyBorder="1"/>
    <xf numFmtId="44" fontId="3" fillId="0" borderId="7" xfId="0" applyNumberFormat="1" applyFont="1" applyBorder="1"/>
    <xf numFmtId="164" fontId="0" fillId="0" borderId="0" xfId="2" applyNumberFormat="1" applyFont="1" applyBorder="1"/>
    <xf numFmtId="44" fontId="0" fillId="0" borderId="0" xfId="1" applyFont="1" applyBorder="1"/>
    <xf numFmtId="0" fontId="0" fillId="0" borderId="12" xfId="0" applyBorder="1"/>
    <xf numFmtId="0" fontId="0" fillId="0" borderId="13" xfId="0" applyBorder="1"/>
    <xf numFmtId="164" fontId="0" fillId="0" borderId="0" xfId="2" applyNumberFormat="1" applyFont="1"/>
    <xf numFmtId="0" fontId="3" fillId="0" borderId="11" xfId="0" applyFont="1" applyBorder="1"/>
    <xf numFmtId="0" fontId="0" fillId="0" borderId="14" xfId="0" applyBorder="1"/>
    <xf numFmtId="0" fontId="0" fillId="0" borderId="15" xfId="0" applyBorder="1"/>
    <xf numFmtId="10" fontId="0" fillId="0" borderId="0" xfId="2" applyNumberFormat="1" applyFont="1" applyBorder="1"/>
    <xf numFmtId="0" fontId="3" fillId="0" borderId="14" xfId="0" applyFont="1" applyBorder="1"/>
    <xf numFmtId="44" fontId="0" fillId="0" borderId="17" xfId="1" applyFont="1" applyBorder="1"/>
    <xf numFmtId="0" fontId="0" fillId="0" borderId="18" xfId="0" applyBorder="1"/>
    <xf numFmtId="10" fontId="0" fillId="0" borderId="0" xfId="1" applyNumberFormat="1" applyFont="1"/>
    <xf numFmtId="166" fontId="0" fillId="0" borderId="0" xfId="2" applyNumberFormat="1" applyFont="1" applyBorder="1"/>
    <xf numFmtId="166" fontId="2" fillId="2" borderId="1" xfId="3" applyNumberFormat="1"/>
    <xf numFmtId="0" fontId="6" fillId="0" borderId="0" xfId="0" applyFont="1"/>
    <xf numFmtId="165" fontId="0" fillId="0" borderId="0" xfId="0" applyNumberFormat="1"/>
    <xf numFmtId="164" fontId="0" fillId="0" borderId="7" xfId="0" applyNumberFormat="1" applyBorder="1"/>
    <xf numFmtId="0" fontId="3" fillId="4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5" borderId="0" xfId="0" applyFont="1" applyFill="1" applyAlignment="1">
      <alignment horizontal="center"/>
    </xf>
    <xf numFmtId="0" fontId="0" fillId="5" borderId="0" xfId="0" applyFill="1"/>
    <xf numFmtId="44" fontId="0" fillId="5" borderId="6" xfId="0" applyNumberFormat="1" applyFill="1" applyBorder="1"/>
    <xf numFmtId="44" fontId="0" fillId="5" borderId="0" xfId="0" applyNumberFormat="1" applyFill="1"/>
    <xf numFmtId="44" fontId="3" fillId="5" borderId="7" xfId="0" applyNumberFormat="1" applyFont="1" applyFill="1" applyBorder="1"/>
    <xf numFmtId="44" fontId="0" fillId="5" borderId="0" xfId="1" applyFont="1" applyFill="1" applyBorder="1"/>
    <xf numFmtId="164" fontId="0" fillId="5" borderId="0" xfId="2" applyNumberFormat="1" applyFont="1" applyFill="1" applyBorder="1"/>
    <xf numFmtId="164" fontId="0" fillId="5" borderId="7" xfId="0" applyNumberFormat="1" applyFill="1" applyBorder="1"/>
    <xf numFmtId="44" fontId="0" fillId="5" borderId="8" xfId="0" applyNumberFormat="1" applyFill="1" applyBorder="1"/>
    <xf numFmtId="44" fontId="0" fillId="5" borderId="9" xfId="0" applyNumberFormat="1" applyFill="1" applyBorder="1"/>
    <xf numFmtId="44" fontId="3" fillId="5" borderId="10" xfId="0" applyNumberFormat="1" applyFont="1" applyFill="1" applyBorder="1"/>
    <xf numFmtId="44" fontId="0" fillId="5" borderId="9" xfId="1" applyFont="1" applyFill="1" applyBorder="1"/>
    <xf numFmtId="164" fontId="0" fillId="5" borderId="9" xfId="2" applyNumberFormat="1" applyFont="1" applyFill="1" applyBorder="1"/>
    <xf numFmtId="164" fontId="0" fillId="5" borderId="10" xfId="0" applyNumberFormat="1" applyFill="1" applyBorder="1"/>
    <xf numFmtId="0" fontId="0" fillId="5" borderId="7" xfId="0" applyFill="1" applyBorder="1"/>
    <xf numFmtId="164" fontId="0" fillId="0" borderId="0" xfId="1" applyNumberFormat="1" applyFont="1"/>
    <xf numFmtId="0" fontId="3" fillId="6" borderId="0" xfId="0" applyFont="1" applyFill="1" applyAlignment="1">
      <alignment horizontal="center"/>
    </xf>
    <xf numFmtId="164" fontId="0" fillId="5" borderId="0" xfId="1" applyNumberFormat="1" applyFont="1" applyFill="1"/>
    <xf numFmtId="0" fontId="0" fillId="6" borderId="0" xfId="0" applyFill="1"/>
    <xf numFmtId="44" fontId="0" fillId="6" borderId="6" xfId="0" applyNumberFormat="1" applyFill="1" applyBorder="1"/>
    <xf numFmtId="44" fontId="1" fillId="6" borderId="0" xfId="1" applyFont="1" applyFill="1" applyBorder="1"/>
    <xf numFmtId="44" fontId="1" fillId="5" borderId="0" xfId="1" applyFont="1" applyFill="1" applyBorder="1"/>
    <xf numFmtId="44" fontId="0" fillId="5" borderId="7" xfId="0" applyNumberFormat="1" applyFill="1" applyBorder="1"/>
    <xf numFmtId="9" fontId="0" fillId="5" borderId="0" xfId="2" applyFont="1" applyFill="1"/>
    <xf numFmtId="0" fontId="5" fillId="3" borderId="19" xfId="4" applyBorder="1"/>
    <xf numFmtId="44" fontId="0" fillId="0" borderId="4" xfId="1" applyFont="1" applyBorder="1"/>
    <xf numFmtId="44" fontId="0" fillId="0" borderId="6" xfId="1" applyFont="1" applyBorder="1"/>
    <xf numFmtId="10" fontId="0" fillId="6" borderId="7" xfId="2" applyNumberFormat="1" applyFont="1" applyFill="1" applyBorder="1"/>
    <xf numFmtId="44" fontId="0" fillId="5" borderId="6" xfId="1" applyFont="1" applyFill="1" applyBorder="1"/>
    <xf numFmtId="10" fontId="0" fillId="5" borderId="7" xfId="2" applyNumberFormat="1" applyFont="1" applyFill="1" applyBorder="1"/>
    <xf numFmtId="44" fontId="0" fillId="5" borderId="8" xfId="1" applyFont="1" applyFill="1" applyBorder="1"/>
    <xf numFmtId="10" fontId="0" fillId="5" borderId="10" xfId="2" applyNumberFormat="1" applyFont="1" applyFill="1" applyBorder="1"/>
    <xf numFmtId="44" fontId="1" fillId="5" borderId="9" xfId="1" applyFont="1" applyFill="1" applyBorder="1"/>
    <xf numFmtId="44" fontId="0" fillId="5" borderId="10" xfId="0" applyNumberFormat="1" applyFill="1" applyBorder="1"/>
    <xf numFmtId="44" fontId="3" fillId="0" borderId="9" xfId="1" applyFont="1" applyBorder="1"/>
    <xf numFmtId="0" fontId="0" fillId="0" borderId="9" xfId="0" applyBorder="1"/>
    <xf numFmtId="0" fontId="3" fillId="0" borderId="9" xfId="0" applyFont="1" applyBorder="1"/>
    <xf numFmtId="44" fontId="0" fillId="0" borderId="9" xfId="1" applyFont="1" applyBorder="1"/>
    <xf numFmtId="0" fontId="0" fillId="0" borderId="16" xfId="0" applyBorder="1" applyAlignment="1">
      <alignment horizontal="right"/>
    </xf>
    <xf numFmtId="0" fontId="0" fillId="0" borderId="14" xfId="0" applyBorder="1" applyAlignment="1">
      <alignment horizontal="right"/>
    </xf>
    <xf numFmtId="0" fontId="0" fillId="0" borderId="0" xfId="0" applyAlignment="1">
      <alignment horizontal="right"/>
    </xf>
    <xf numFmtId="0" fontId="2" fillId="2" borderId="1" xfId="3"/>
    <xf numFmtId="10" fontId="2" fillId="2" borderId="1" xfId="3" applyNumberFormat="1"/>
    <xf numFmtId="44" fontId="3" fillId="6" borderId="7" xfId="0" applyNumberFormat="1" applyFont="1" applyFill="1" applyBorder="1"/>
    <xf numFmtId="44" fontId="3" fillId="5" borderId="0" xfId="1" applyFont="1" applyFill="1" applyBorder="1"/>
    <xf numFmtId="44" fontId="2" fillId="2" borderId="1" xfId="1" applyFont="1" applyFill="1" applyBorder="1"/>
    <xf numFmtId="0" fontId="3" fillId="0" borderId="0" xfId="0" applyFont="1" applyAlignment="1">
      <alignment horizontal="left"/>
    </xf>
    <xf numFmtId="10" fontId="0" fillId="0" borderId="0" xfId="1" applyNumberFormat="1" applyFont="1" applyBorder="1"/>
    <xf numFmtId="10" fontId="5" fillId="3" borderId="3" xfId="2" applyNumberFormat="1" applyFont="1" applyFill="1" applyBorder="1"/>
    <xf numFmtId="8" fontId="3" fillId="0" borderId="2" xfId="1" applyNumberFormat="1" applyFont="1" applyBorder="1"/>
  </cellXfs>
  <cellStyles count="5">
    <cellStyle name="Check Cell" xfId="4" builtinId="23"/>
    <cellStyle name="Currency" xfId="1" builtinId="4"/>
    <cellStyle name="Normal" xfId="0" builtinId="0"/>
    <cellStyle name="Output" xfId="3" builtinId="21"/>
    <cellStyle name="Percent" xfId="2" builtinId="5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254611</xdr:colOff>
      <xdr:row>26</xdr:row>
      <xdr:rowOff>188668</xdr:rowOff>
    </xdr:from>
    <xdr:to>
      <xdr:col>4</xdr:col>
      <xdr:colOff>522502</xdr:colOff>
      <xdr:row>50</xdr:row>
      <xdr:rowOff>173935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31B8FA5-A255-0044-1D2D-D3AD515ECD1C}"/>
            </a:ext>
          </a:extLst>
        </xdr:cNvPr>
        <xdr:cNvSpPr txBox="1"/>
      </xdr:nvSpPr>
      <xdr:spPr>
        <a:xfrm>
          <a:off x="254611" y="5357016"/>
          <a:ext cx="4053043" cy="459039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*</a:t>
          </a:r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Additional Expenses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projected to grow proportionally to home valuation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1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Property Valuation: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Expected value of the property relative to the purchase price? (Are you over/underpaying?)</a:t>
          </a:r>
        </a:p>
        <a:p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Projected Annual RE Growth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How do you expect the Real Estate market to grow in your area? (Estimates may be available online)</a:t>
          </a:r>
        </a:p>
        <a:p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Transaction Fees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Additional fees paid by seller for home sale. E.g. broker/agent fees, transfer taxes. </a:t>
          </a:r>
          <a:endParaRPr lang="en-US">
            <a:effectLst/>
          </a:endParaRPr>
        </a:p>
        <a:p>
          <a:endParaRPr lang="en-US" sz="1100" b="1"/>
        </a:p>
        <a:p>
          <a:r>
            <a:rPr lang="en-US" sz="1100" b="1"/>
            <a:t>Equivalent</a:t>
          </a:r>
          <a:r>
            <a:rPr lang="en-US" sz="1100" b="1" baseline="0"/>
            <a:t> Rent:</a:t>
          </a:r>
          <a:r>
            <a:rPr lang="en-US" sz="1100" baseline="0"/>
            <a:t> </a:t>
          </a:r>
        </a:p>
        <a:p>
          <a:r>
            <a:rPr lang="en-US" sz="1100" baseline="0"/>
            <a:t>How much would expect to lose each month if you DID NOT purchase? E.g., rent; equivalent homeowner expenses (not including principal payments).</a:t>
          </a:r>
        </a:p>
        <a:p>
          <a:r>
            <a:rPr lang="en-US" sz="1100" baseline="0"/>
            <a:t>Disregard w/ Rent=0.</a:t>
          </a:r>
        </a:p>
        <a:p>
          <a:endParaRPr lang="en-US" sz="1100" baseline="0"/>
        </a:p>
        <a:p>
          <a:r>
            <a:rPr lang="en-US" sz="1100" b="1" baseline="0"/>
            <a:t>Added Tax Benefit:</a:t>
          </a:r>
        </a:p>
        <a:p>
          <a:r>
            <a:rPr lang="en-US" sz="1100" baseline="0"/>
            <a:t>For adjusting to the expected tax deduction (based on 2025 federal income tax law). </a:t>
          </a:r>
        </a:p>
        <a:p>
          <a:r>
            <a:rPr lang="en-US" sz="1100" baseline="0"/>
            <a:t>Disregard w/ Tax Rate=0.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7F8B2-F8F0-47F4-9EF4-2DDE52A3A506}">
  <sheetPr codeName="Sheet1"/>
  <dimension ref="B2:CC93"/>
  <sheetViews>
    <sheetView tabSelected="1" topLeftCell="A9" zoomScale="130" zoomScaleNormal="130" workbookViewId="0">
      <selection activeCell="F21" sqref="F21"/>
    </sheetView>
  </sheetViews>
  <sheetFormatPr defaultRowHeight="15" x14ac:dyDescent="0.25"/>
  <cols>
    <col min="1" max="1" width="4.7109375" customWidth="1"/>
    <col min="2" max="2" width="32.5703125" bestFit="1" customWidth="1"/>
    <col min="3" max="3" width="16.85546875" bestFit="1" customWidth="1"/>
    <col min="4" max="4" width="2.5703125" bestFit="1" customWidth="1"/>
    <col min="6" max="6" width="36.42578125" bestFit="1" customWidth="1"/>
    <col min="7" max="7" width="20.85546875" style="1" bestFit="1" customWidth="1"/>
    <col min="8" max="8" width="11.140625" bestFit="1" customWidth="1"/>
    <col min="10" max="10" width="10.140625" bestFit="1" customWidth="1"/>
    <col min="11" max="11" width="16.140625" bestFit="1" customWidth="1"/>
    <col min="12" max="12" width="19.5703125" bestFit="1" customWidth="1"/>
    <col min="13" max="13" width="27.42578125" bestFit="1" customWidth="1"/>
    <col min="14" max="14" width="20" style="1" customWidth="1"/>
    <col min="15" max="15" width="14.7109375" bestFit="1" customWidth="1"/>
    <col min="16" max="16" width="22.28515625" customWidth="1"/>
    <col min="17" max="17" width="21.42578125" customWidth="1"/>
    <col min="18" max="18" width="18.85546875" customWidth="1"/>
    <col min="19" max="19" width="13.5703125" bestFit="1" customWidth="1"/>
    <col min="20" max="20" width="19.42578125" bestFit="1" customWidth="1"/>
    <col min="21" max="21" width="4" customWidth="1"/>
    <col min="22" max="22" width="20.85546875" bestFit="1" customWidth="1"/>
    <col min="23" max="23" width="16.140625" bestFit="1" customWidth="1"/>
    <col min="24" max="24" width="14.7109375" bestFit="1" customWidth="1"/>
    <col min="25" max="25" width="15.140625" bestFit="1" customWidth="1"/>
    <col min="26" max="26" width="14.5703125" bestFit="1" customWidth="1"/>
    <col min="27" max="27" width="21" bestFit="1" customWidth="1"/>
    <col min="28" max="28" width="12.42578125" bestFit="1" customWidth="1"/>
    <col min="29" max="29" width="16.140625" bestFit="1" customWidth="1"/>
    <col min="30" max="30" width="9.7109375" customWidth="1"/>
    <col min="31" max="31" width="17.85546875" bestFit="1" customWidth="1"/>
    <col min="32" max="32" width="15" customWidth="1"/>
    <col min="33" max="33" width="14.5703125" bestFit="1" customWidth="1"/>
    <col min="34" max="34" width="21.140625" bestFit="1" customWidth="1"/>
    <col min="35" max="35" width="18.140625" bestFit="1" customWidth="1"/>
    <col min="36" max="36" width="20.7109375" customWidth="1"/>
    <col min="37" max="37" width="18.140625" bestFit="1" customWidth="1"/>
    <col min="39" max="39" width="17.140625" bestFit="1" customWidth="1"/>
  </cols>
  <sheetData>
    <row r="2" spans="2:33" x14ac:dyDescent="0.25">
      <c r="B2" s="38" t="s">
        <v>111</v>
      </c>
      <c r="F2" s="38" t="s">
        <v>74</v>
      </c>
      <c r="K2" s="38" t="s">
        <v>77</v>
      </c>
      <c r="AA2" s="1"/>
    </row>
    <row r="3" spans="2:33" ht="15.75" thickBot="1" x14ac:dyDescent="0.3">
      <c r="T3" s="1"/>
      <c r="AA3" s="1"/>
    </row>
    <row r="4" spans="2:33" x14ac:dyDescent="0.25">
      <c r="B4" s="28" t="s">
        <v>64</v>
      </c>
      <c r="C4" s="25"/>
      <c r="D4" s="26"/>
      <c r="F4" s="5" t="s">
        <v>110</v>
      </c>
      <c r="K4" s="42" t="s">
        <v>54</v>
      </c>
      <c r="L4" s="5" t="s">
        <v>78</v>
      </c>
      <c r="M4" s="5" t="s">
        <v>115</v>
      </c>
      <c r="N4" s="5" t="s">
        <v>124</v>
      </c>
      <c r="O4" s="7" t="s">
        <v>58</v>
      </c>
      <c r="P4" s="5" t="s">
        <v>44</v>
      </c>
      <c r="Q4" s="42" t="s">
        <v>54</v>
      </c>
      <c r="AA4" s="1"/>
    </row>
    <row r="5" spans="2:33" ht="15.75" thickBot="1" x14ac:dyDescent="0.3">
      <c r="B5" s="82" t="s">
        <v>52</v>
      </c>
      <c r="C5" s="24">
        <v>500000</v>
      </c>
      <c r="D5" s="30"/>
      <c r="F5" s="83" t="s">
        <v>1</v>
      </c>
      <c r="G5" s="1">
        <f>C5</f>
        <v>500000</v>
      </c>
      <c r="K5" s="41">
        <v>0</v>
      </c>
      <c r="L5" s="46">
        <f>'Cash Flow'!I6</f>
        <v>60000</v>
      </c>
      <c r="M5" s="46">
        <f>'Cash Flow'!T6</f>
        <v>100000</v>
      </c>
      <c r="N5" s="46">
        <f>'Cash Flow'!V6</f>
        <v>-40000</v>
      </c>
      <c r="O5" s="60">
        <f>'Cash Flow'!W6</f>
        <v>-0.4</v>
      </c>
      <c r="P5" s="60" t="str">
        <f>'Cash Flow'!X6</f>
        <v>[-]</v>
      </c>
      <c r="Q5" s="41">
        <v>0</v>
      </c>
      <c r="AA5" s="1"/>
    </row>
    <row r="6" spans="2:33" ht="16.5" thickTop="1" thickBot="1" x14ac:dyDescent="0.3">
      <c r="B6" s="82" t="s">
        <v>62</v>
      </c>
      <c r="C6" s="3">
        <v>0.2</v>
      </c>
      <c r="D6" s="67" t="s">
        <v>63</v>
      </c>
      <c r="F6" s="83" t="s">
        <v>0</v>
      </c>
      <c r="G6" s="1">
        <f>IF(D6="$", C6, C6*C5)</f>
        <v>100000</v>
      </c>
      <c r="H6" s="13">
        <v>0.2</v>
      </c>
      <c r="K6" s="42">
        <v>1</v>
      </c>
      <c r="L6" s="4">
        <f>'Cash Flow'!I7</f>
        <v>82765.914001794823</v>
      </c>
      <c r="M6" s="4">
        <f>'Cash Flow'!T7</f>
        <v>114084.36322045118</v>
      </c>
      <c r="N6" s="4">
        <f>'Cash Flow'!V7</f>
        <v>-31318.449218656358</v>
      </c>
      <c r="O6" s="58">
        <f>'Cash Flow'!W7</f>
        <v>-0.27452008614132406</v>
      </c>
      <c r="P6" s="58">
        <f>'Cash Flow'!X7</f>
        <v>-0.27452008614132406</v>
      </c>
      <c r="Q6" s="42">
        <v>1</v>
      </c>
      <c r="AA6" s="7"/>
    </row>
    <row r="7" spans="2:33" ht="15.75" thickTop="1" x14ac:dyDescent="0.25">
      <c r="B7" s="82" t="s">
        <v>65</v>
      </c>
      <c r="C7" s="36">
        <v>6.6250000000000003E-2</v>
      </c>
      <c r="D7" s="30"/>
      <c r="F7" s="83" t="s">
        <v>4</v>
      </c>
      <c r="G7" s="1">
        <f>G5-G6</f>
        <v>400000</v>
      </c>
      <c r="K7" s="42">
        <v>2</v>
      </c>
      <c r="L7" s="4">
        <f>'Cash Flow'!I8</f>
        <v>106566.0161647796</v>
      </c>
      <c r="M7" s="4">
        <f>'Cash Flow'!T8</f>
        <v>127683.41159958788</v>
      </c>
      <c r="N7" s="4">
        <f>'Cash Flow'!V8</f>
        <v>-21117.395434808277</v>
      </c>
      <c r="O7" s="58">
        <f>'Cash Flow'!W8</f>
        <v>-0.16538871549760847</v>
      </c>
      <c r="P7" s="58">
        <f>'Cash Flow'!X8</f>
        <v>-8.6429376291908389E-2</v>
      </c>
      <c r="Q7" s="42">
        <v>2</v>
      </c>
      <c r="AA7" s="1"/>
      <c r="AB7" s="2"/>
      <c r="AC7" s="3"/>
      <c r="AF7" s="4"/>
      <c r="AG7" s="2"/>
    </row>
    <row r="8" spans="2:33" x14ac:dyDescent="0.25">
      <c r="B8" s="82" t="s">
        <v>105</v>
      </c>
      <c r="C8" s="24">
        <v>0</v>
      </c>
      <c r="D8" s="30"/>
      <c r="F8" s="83"/>
      <c r="K8" s="42">
        <v>3</v>
      </c>
      <c r="L8" s="4">
        <f>'Cash Flow'!I9</f>
        <v>131450.11248320813</v>
      </c>
      <c r="M8" s="4">
        <f>'Cash Flow'!T9</f>
        <v>140779.75777603115</v>
      </c>
      <c r="N8" s="4">
        <f>'Cash Flow'!V9</f>
        <v>-9329.6452928230283</v>
      </c>
      <c r="O8" s="58">
        <f>'Cash Flow'!W9</f>
        <v>-6.6271212851962136E-2</v>
      </c>
      <c r="P8" s="58">
        <f>'Cash Flow'!X9</f>
        <v>-2.259719103589497E-2</v>
      </c>
      <c r="Q8" s="42">
        <v>3</v>
      </c>
      <c r="AA8" s="7"/>
      <c r="AB8" s="2"/>
      <c r="AG8" s="2"/>
    </row>
    <row r="9" spans="2:33" x14ac:dyDescent="0.25">
      <c r="B9" s="29"/>
      <c r="D9" s="30"/>
      <c r="F9" s="83" t="s">
        <v>2</v>
      </c>
      <c r="G9" s="35">
        <f>C7</f>
        <v>6.6250000000000003E-2</v>
      </c>
      <c r="K9" s="42">
        <v>4</v>
      </c>
      <c r="L9" s="4">
        <f>'Cash Flow'!I10</f>
        <v>157470.57753117842</v>
      </c>
      <c r="M9" s="4">
        <f>'Cash Flow'!T10</f>
        <v>153398.66182356441</v>
      </c>
      <c r="N9" s="4">
        <f>'Cash Flow'!V10</f>
        <v>4071.9157076140109</v>
      </c>
      <c r="O9" s="58">
        <f>'Cash Flow'!W10</f>
        <v>2.6544662510142647E-2</v>
      </c>
      <c r="P9" s="58">
        <f>'Cash Flow'!X10</f>
        <v>6.5711121516192073E-3</v>
      </c>
      <c r="Q9" s="42">
        <v>4</v>
      </c>
      <c r="AA9" s="1"/>
      <c r="AB9" s="2"/>
      <c r="AG9" s="2"/>
    </row>
    <row r="10" spans="2:33" ht="15.75" thickBot="1" x14ac:dyDescent="0.3">
      <c r="B10" s="32" t="s">
        <v>117</v>
      </c>
      <c r="D10" s="30"/>
      <c r="F10" s="83"/>
      <c r="K10" s="43">
        <v>5</v>
      </c>
      <c r="L10" s="46">
        <f>'Cash Flow'!I11</f>
        <v>184682.49656935636</v>
      </c>
      <c r="M10" s="46">
        <f>'Cash Flow'!T11</f>
        <v>165576.13277178752</v>
      </c>
      <c r="N10" s="46">
        <f>'Cash Flow'!V11</f>
        <v>19106.363797568833</v>
      </c>
      <c r="O10" s="60">
        <f>'Cash Flow'!W11</f>
        <v>0.11539322411825514</v>
      </c>
      <c r="P10" s="60">
        <f>'Cash Flow'!X11</f>
        <v>2.2081671528970004E-2</v>
      </c>
      <c r="Q10" s="43">
        <v>5</v>
      </c>
      <c r="W10" s="6"/>
      <c r="AA10" s="7"/>
      <c r="AB10" s="2"/>
      <c r="AF10" s="4"/>
    </row>
    <row r="11" spans="2:33" ht="16.5" thickTop="1" thickBot="1" x14ac:dyDescent="0.3">
      <c r="B11" s="82" t="s">
        <v>118</v>
      </c>
      <c r="C11" s="31">
        <v>1.8100000000000002E-2</v>
      </c>
      <c r="D11" s="67" t="s">
        <v>63</v>
      </c>
      <c r="F11" s="83" t="s">
        <v>71</v>
      </c>
      <c r="G11" s="1">
        <f>G7*C7/12</f>
        <v>2208.3333333333335</v>
      </c>
      <c r="K11" s="42">
        <v>6</v>
      </c>
      <c r="L11" s="4">
        <f>'Cash Flow'!I12</f>
        <v>213143.81602446345</v>
      </c>
      <c r="M11" s="4">
        <f>'Cash Flow'!T12</f>
        <v>177296.98248083517</v>
      </c>
      <c r="N11" s="4">
        <f>'Cash Flow'!V12</f>
        <v>35846.83354362828</v>
      </c>
      <c r="O11" s="58">
        <f>'Cash Flow'!W12</f>
        <v>0.20218524332473131</v>
      </c>
      <c r="P11" s="58">
        <f>'Cash Flow'!X12</f>
        <v>3.1165953941197699E-2</v>
      </c>
      <c r="Q11" s="42">
        <v>6</v>
      </c>
      <c r="AA11" s="1"/>
    </row>
    <row r="12" spans="2:33" ht="16.5" thickTop="1" thickBot="1" x14ac:dyDescent="0.3">
      <c r="B12" s="82" t="s">
        <v>119</v>
      </c>
      <c r="C12" s="31">
        <v>7.1999999999999998E-3</v>
      </c>
      <c r="D12" s="67" t="s">
        <v>63</v>
      </c>
      <c r="I12" s="3"/>
      <c r="K12" s="42">
        <v>7</v>
      </c>
      <c r="L12" s="4">
        <f>'Cash Flow'!I13</f>
        <v>242915.50286006136</v>
      </c>
      <c r="M12" s="4">
        <f>'Cash Flow'!T13</f>
        <v>188545.58392839268</v>
      </c>
      <c r="N12" s="4">
        <f>'Cash Flow'!V13</f>
        <v>54369.918931668682</v>
      </c>
      <c r="O12" s="58">
        <f>'Cash Flow'!W13</f>
        <v>0.28836484949081442</v>
      </c>
      <c r="P12" s="58">
        <f>'Cash Flow'!X13</f>
        <v>3.6859325837516277E-2</v>
      </c>
      <c r="Q12" s="42">
        <v>7</v>
      </c>
      <c r="AA12" s="1"/>
    </row>
    <row r="13" spans="2:33" ht="16.5" thickTop="1" thickBot="1" x14ac:dyDescent="0.3">
      <c r="B13" s="82" t="s">
        <v>121</v>
      </c>
      <c r="C13" s="24">
        <v>600</v>
      </c>
      <c r="D13" s="67" t="s">
        <v>116</v>
      </c>
      <c r="F13" s="83" t="s">
        <v>50</v>
      </c>
      <c r="G13" s="14">
        <f>G14-G11</f>
        <v>352.91051096714909</v>
      </c>
      <c r="K13" s="42">
        <v>8</v>
      </c>
      <c r="L13" s="4">
        <f>'Cash Flow'!I14</f>
        <v>274061.71339044819</v>
      </c>
      <c r="M13" s="4">
        <f>'Cash Flow'!T14</f>
        <v>199305.86517257936</v>
      </c>
      <c r="N13" s="4">
        <f>'Cash Flow'!V14</f>
        <v>74755.848217868828</v>
      </c>
      <c r="O13" s="58">
        <f>'Cash Flow'!W14</f>
        <v>0.37508102510248542</v>
      </c>
      <c r="P13" s="58">
        <f>'Cash Flow'!X14</f>
        <v>4.0617286816741593E-2</v>
      </c>
      <c r="Q13" s="42">
        <v>8</v>
      </c>
      <c r="AA13" s="1"/>
    </row>
    <row r="14" spans="2:33" ht="16.5" thickTop="1" thickBot="1" x14ac:dyDescent="0.3">
      <c r="B14" s="82" t="s">
        <v>120</v>
      </c>
      <c r="C14" s="90">
        <v>0.01</v>
      </c>
      <c r="D14" s="67" t="s">
        <v>63</v>
      </c>
      <c r="F14" s="8" t="s">
        <v>55</v>
      </c>
      <c r="G14" s="92">
        <f>PMT(C7/12, 360, -G7)</f>
        <v>2561.2438443004826</v>
      </c>
      <c r="K14" s="42">
        <v>9</v>
      </c>
      <c r="L14" s="4">
        <f>'Cash Flow'!I15</f>
        <v>306649.97212495073</v>
      </c>
      <c r="M14" s="4">
        <f>'Cash Flow'!T15</f>
        <v>209561.30386002868</v>
      </c>
      <c r="N14" s="4">
        <f>'Cash Flow'!V15</f>
        <v>97088.668264922046</v>
      </c>
      <c r="O14" s="58">
        <f>'Cash Flow'!W15</f>
        <v>0.46329482817958612</v>
      </c>
      <c r="P14" s="58">
        <f>'Cash Flow'!X15</f>
        <v>4.3206307327231519E-2</v>
      </c>
      <c r="Q14" s="42">
        <v>9</v>
      </c>
      <c r="AA14" s="1"/>
    </row>
    <row r="15" spans="2:33" ht="15.75" thickTop="1" x14ac:dyDescent="0.25">
      <c r="B15" s="29"/>
      <c r="D15" s="30"/>
      <c r="K15" s="43">
        <v>10</v>
      </c>
      <c r="L15" s="46">
        <f>'Cash Flow'!I16</f>
        <v>340751.36126770469</v>
      </c>
      <c r="M15" s="46">
        <f>'Cash Flow'!T16</f>
        <v>219294.92235470429</v>
      </c>
      <c r="N15" s="46">
        <f>'Cash Flow'!V16</f>
        <v>121456.4389130004</v>
      </c>
      <c r="O15" s="60">
        <f>'Cash Flow'!W16</f>
        <v>0.55384975451710416</v>
      </c>
      <c r="P15" s="60">
        <f>'Cash Flow'!X16</f>
        <v>4.5059222877135818E-2</v>
      </c>
      <c r="Q15" s="43">
        <v>10</v>
      </c>
      <c r="AA15" s="1"/>
    </row>
    <row r="16" spans="2:33" ht="15.75" thickBot="1" x14ac:dyDescent="0.3">
      <c r="B16" s="32" t="s">
        <v>66</v>
      </c>
      <c r="D16" s="30"/>
      <c r="F16" s="89" t="s">
        <v>126</v>
      </c>
      <c r="K16" s="42">
        <v>11</v>
      </c>
      <c r="L16" s="4">
        <f>'Cash Flow'!I17</f>
        <v>376440.72153830301</v>
      </c>
      <c r="M16" s="4">
        <f>'Cash Flow'!T17</f>
        <v>228489.28356967826</v>
      </c>
      <c r="N16" s="4">
        <f>'Cash Flow'!V17</f>
        <v>147951.43796862476</v>
      </c>
      <c r="O16" s="58">
        <f>'Cash Flow'!W17</f>
        <v>0.64752024977795797</v>
      </c>
      <c r="P16" s="58">
        <f>'Cash Flow'!X17</f>
        <v>4.6434109353343356E-2</v>
      </c>
      <c r="Q16" s="42">
        <v>11</v>
      </c>
      <c r="AA16" s="1"/>
    </row>
    <row r="17" spans="2:81" ht="16.5" thickTop="1" thickBot="1" x14ac:dyDescent="0.3">
      <c r="B17" s="82" t="s">
        <v>76</v>
      </c>
      <c r="C17" s="31">
        <v>1</v>
      </c>
      <c r="D17" s="67" t="s">
        <v>63</v>
      </c>
      <c r="F17" s="83" t="s">
        <v>97</v>
      </c>
      <c r="G17" s="1">
        <f>IF(D11="$", C11, C11*C5)</f>
        <v>9050</v>
      </c>
      <c r="H17" s="13">
        <f>G17/C5</f>
        <v>1.8100000000000002E-2</v>
      </c>
      <c r="K17" s="42">
        <v>12</v>
      </c>
      <c r="L17" s="4">
        <f>'Cash Flow'!I18</f>
        <v>405496.61463844345</v>
      </c>
      <c r="M17" s="4">
        <f>'Cash Flow'!T18</f>
        <v>212961.94225227664</v>
      </c>
      <c r="N17" s="4">
        <f>'Cash Flow'!V18</f>
        <v>192534.67238616681</v>
      </c>
      <c r="O17" s="58">
        <f>'Cash Flow'!W18</f>
        <v>0.90408018611179131</v>
      </c>
      <c r="P17" s="58">
        <f>'Cash Flow'!X18</f>
        <v>5.5132749057778208E-2</v>
      </c>
      <c r="Q17" s="42">
        <v>12</v>
      </c>
      <c r="AA17" s="1"/>
    </row>
    <row r="18" spans="2:81" ht="16.5" thickTop="1" thickBot="1" x14ac:dyDescent="0.3">
      <c r="B18" s="82" t="s">
        <v>113</v>
      </c>
      <c r="C18" s="31">
        <v>0.04</v>
      </c>
      <c r="D18" s="30"/>
      <c r="F18" s="83" t="s">
        <v>125</v>
      </c>
      <c r="G18" s="1">
        <f>IF(D12="$", C12, C12*C5)</f>
        <v>3600</v>
      </c>
      <c r="H18" s="13">
        <f>G18/C5</f>
        <v>7.1999999999999998E-3</v>
      </c>
      <c r="I18" s="4"/>
      <c r="K18" s="42">
        <v>13</v>
      </c>
      <c r="L18" s="4">
        <f>'Cash Flow'!I19</f>
        <v>435689.57579263486</v>
      </c>
      <c r="M18" s="4">
        <f>'Cash Flow'!T19</f>
        <v>196711.05752840679</v>
      </c>
      <c r="N18" s="4">
        <f>'Cash Flow'!V19</f>
        <v>238978.51826422807</v>
      </c>
      <c r="O18" s="58">
        <f>'Cash Flow'!W19</f>
        <v>1.214870792048472</v>
      </c>
      <c r="P18" s="58">
        <f>'Cash Flow'!X19</f>
        <v>6.3078319570102348E-2</v>
      </c>
      <c r="Q18" s="42">
        <v>13</v>
      </c>
      <c r="AA18" s="1"/>
    </row>
    <row r="19" spans="2:81" ht="16.5" thickTop="1" thickBot="1" x14ac:dyDescent="0.3">
      <c r="B19" s="82" t="s">
        <v>67</v>
      </c>
      <c r="C19" s="31">
        <v>0.08</v>
      </c>
      <c r="D19" s="30"/>
      <c r="F19" s="83" t="s">
        <v>121</v>
      </c>
      <c r="G19" s="1">
        <f>IF(D13="$", C13, C13*C5)</f>
        <v>600</v>
      </c>
      <c r="H19" s="91">
        <f>G19/C5</f>
        <v>1.1999999999999999E-3</v>
      </c>
      <c r="K19" s="42">
        <v>14</v>
      </c>
      <c r="L19" s="4">
        <f>'Cash Flow'!I20</f>
        <v>467064.94877652806</v>
      </c>
      <c r="M19" s="4">
        <f>'Cash Flow'!T20</f>
        <v>179707.68766181025</v>
      </c>
      <c r="N19" s="4">
        <f>'Cash Flow'!V20</f>
        <v>287357.26111471781</v>
      </c>
      <c r="O19" s="58">
        <f>'Cash Flow'!W20</f>
        <v>1.599025978540729</v>
      </c>
      <c r="P19" s="58">
        <f>'Cash Flow'!X20</f>
        <v>7.0605154608837983E-2</v>
      </c>
      <c r="Q19" s="42">
        <v>14</v>
      </c>
      <c r="AA19" s="1"/>
      <c r="CC19" s="39"/>
    </row>
    <row r="20" spans="2:81" ht="16.5" thickTop="1" thickBot="1" x14ac:dyDescent="0.3">
      <c r="B20" s="82" t="s">
        <v>87</v>
      </c>
      <c r="C20" s="24">
        <v>2500</v>
      </c>
      <c r="D20" s="30"/>
      <c r="F20" s="83" t="s">
        <v>122</v>
      </c>
      <c r="G20" s="1">
        <f>IF(D14="$", C14, C14*C5)</f>
        <v>5000</v>
      </c>
      <c r="H20" s="91">
        <f>G20/C5</f>
        <v>0.01</v>
      </c>
      <c r="K20" s="43">
        <v>15</v>
      </c>
      <c r="L20" s="46">
        <f>'Cash Flow'!I21</f>
        <v>499669.89034969924</v>
      </c>
      <c r="M20" s="46">
        <f>'Cash Flow'!T21</f>
        <v>161921.73324677785</v>
      </c>
      <c r="N20" s="46">
        <f>'Cash Flow'!V21</f>
        <v>337748.1571029214</v>
      </c>
      <c r="O20" s="60">
        <f>'Cash Flow'!W21</f>
        <v>2.0858729111315415</v>
      </c>
      <c r="P20" s="60">
        <f>'Cash Flow'!X21</f>
        <v>7.8015989258686247E-2</v>
      </c>
      <c r="Q20" s="43">
        <v>15</v>
      </c>
      <c r="Z20" s="1"/>
    </row>
    <row r="21" spans="2:81" ht="15.75" thickTop="1" x14ac:dyDescent="0.25">
      <c r="B21" s="82" t="s">
        <v>112</v>
      </c>
      <c r="C21" s="31">
        <v>0.04</v>
      </c>
      <c r="D21" s="30"/>
      <c r="I21" s="4"/>
      <c r="K21" s="59">
        <v>16</v>
      </c>
      <c r="L21" s="4">
        <f>'Cash Flow'!I22</f>
        <v>533553.44277077238</v>
      </c>
      <c r="M21" s="4">
        <f>'Cash Flow'!T22</f>
        <v>143321.89090137213</v>
      </c>
      <c r="N21" s="4">
        <f>'Cash Flow'!V22</f>
        <v>390231.55186940025</v>
      </c>
      <c r="O21" s="58">
        <f>'Cash Flow'!W22</f>
        <v>2.7227630713994735</v>
      </c>
      <c r="P21" s="58">
        <f>'Cash Flow'!X22</f>
        <v>8.5623129028138623E-2</v>
      </c>
      <c r="Q21" s="59">
        <v>16</v>
      </c>
      <c r="Z21" s="1"/>
      <c r="AM21" s="24"/>
    </row>
    <row r="22" spans="2:81" x14ac:dyDescent="0.25">
      <c r="B22" s="29"/>
      <c r="D22" s="30"/>
      <c r="F22" s="83" t="s">
        <v>72</v>
      </c>
      <c r="G22" s="1">
        <f>G17/12</f>
        <v>754.16666666666663</v>
      </c>
      <c r="K22" s="59">
        <v>17</v>
      </c>
      <c r="L22" s="4">
        <f>'Cash Flow'!I23</f>
        <v>568766.60921312217</v>
      </c>
      <c r="M22" s="4">
        <f>'Cash Flow'!T23</f>
        <v>123875.60510837816</v>
      </c>
      <c r="N22" s="4">
        <f>'Cash Flow'!V23</f>
        <v>444891.004104744</v>
      </c>
      <c r="O22" s="58">
        <f>'Cash Flow'!W23</f>
        <v>3.5914335491278608</v>
      </c>
      <c r="P22" s="58">
        <f>'Cash Flow'!X23</f>
        <v>9.3800545134808511E-2</v>
      </c>
      <c r="Q22" s="59">
        <v>17</v>
      </c>
      <c r="Z22" s="1"/>
      <c r="AM22" s="24"/>
    </row>
    <row r="23" spans="2:81" x14ac:dyDescent="0.25">
      <c r="B23" s="32" t="s">
        <v>70</v>
      </c>
      <c r="D23" s="30"/>
      <c r="F23" s="83" t="s">
        <v>73</v>
      </c>
      <c r="G23" s="1">
        <f>G18/12</f>
        <v>300</v>
      </c>
      <c r="K23" s="59">
        <v>18</v>
      </c>
      <c r="L23" s="4">
        <f>'Cash Flow'!I24</f>
        <v>605362.43219718256</v>
      </c>
      <c r="M23" s="4">
        <f>'Cash Flow'!T24</f>
        <v>103549.01812989236</v>
      </c>
      <c r="N23" s="4">
        <f>'Cash Flow'!V24</f>
        <v>501813.4140672902</v>
      </c>
      <c r="O23" s="58">
        <f>'Cash Flow'!W24</f>
        <v>4.846143624827163</v>
      </c>
      <c r="P23" s="58">
        <f>'Cash Flow'!X24</f>
        <v>0.1030719981962851</v>
      </c>
      <c r="Q23" s="59">
        <v>18</v>
      </c>
      <c r="Z23" s="1"/>
      <c r="AM23" s="24"/>
    </row>
    <row r="24" spans="2:81" x14ac:dyDescent="0.25">
      <c r="B24" s="82" t="s">
        <v>99</v>
      </c>
      <c r="C24" s="31">
        <v>0.24</v>
      </c>
      <c r="D24" s="30"/>
      <c r="F24" s="83" t="s">
        <v>3</v>
      </c>
      <c r="G24" s="1">
        <f>G19/12</f>
        <v>50</v>
      </c>
      <c r="H24" s="4"/>
      <c r="J24" s="1"/>
      <c r="K24" s="59">
        <v>19</v>
      </c>
      <c r="L24" s="4">
        <f>'Cash Flow'!I25</f>
        <v>643396.07516002329</v>
      </c>
      <c r="M24" s="4">
        <f>'Cash Flow'!T25</f>
        <v>82306.917918495077</v>
      </c>
      <c r="N24" s="4">
        <f>'Cash Flow'!V25</f>
        <v>561089.15724152816</v>
      </c>
      <c r="O24" s="58">
        <f>'Cash Flow'!W25</f>
        <v>6.8170352071395763</v>
      </c>
      <c r="P24" s="58">
        <f>'Cash Flow'!X25</f>
        <v>0.1143002144617824</v>
      </c>
      <c r="Q24" s="59">
        <v>19</v>
      </c>
      <c r="Z24" s="1"/>
      <c r="AM24" s="24"/>
    </row>
    <row r="25" spans="2:81" ht="15.75" thickBot="1" x14ac:dyDescent="0.3">
      <c r="B25" s="81" t="s">
        <v>69</v>
      </c>
      <c r="C25" s="33">
        <v>15000</v>
      </c>
      <c r="D25" s="34"/>
      <c r="F25" s="83" t="s">
        <v>123</v>
      </c>
      <c r="G25" s="1">
        <f>G20/12</f>
        <v>416.66666666666669</v>
      </c>
      <c r="J25" s="4"/>
      <c r="K25" s="43">
        <v>20</v>
      </c>
      <c r="L25" s="46">
        <f>'Cash Flow'!I26</f>
        <v>682924.90728768636</v>
      </c>
      <c r="M25" s="46">
        <f>'Cash Flow'!T26</f>
        <v>60112.683944869837</v>
      </c>
      <c r="N25" s="46">
        <f>'Cash Flow'!V26</f>
        <v>622812.22334281658</v>
      </c>
      <c r="O25" s="60">
        <f>'Cash Flow'!W26</f>
        <v>10.360745561020135</v>
      </c>
      <c r="P25" s="60">
        <f>'Cash Flow'!X26</f>
        <v>0.12919862765962531</v>
      </c>
      <c r="Q25" s="43">
        <v>20</v>
      </c>
      <c r="Z25" s="1"/>
      <c r="AM25" s="24"/>
    </row>
    <row r="26" spans="2:81" x14ac:dyDescent="0.25">
      <c r="B26" t="s">
        <v>128</v>
      </c>
      <c r="F26" s="8" t="s">
        <v>93</v>
      </c>
      <c r="G26" s="9">
        <f>SUM(G22:G25)</f>
        <v>1520.8333333333333</v>
      </c>
      <c r="H26" s="37">
        <f>G26/C5</f>
        <v>3.0416666666666665E-3</v>
      </c>
      <c r="K26" s="59">
        <v>21</v>
      </c>
      <c r="L26" s="4">
        <f>'Cash Flow'!I27</f>
        <v>724008.59174079052</v>
      </c>
      <c r="M26" s="4">
        <f>'Cash Flow'!T27</f>
        <v>36928.230858527524</v>
      </c>
      <c r="N26" s="4">
        <f>'Cash Flow'!V27</f>
        <v>687080.36088226305</v>
      </c>
      <c r="O26" s="58">
        <f>'Cash Flow'!W27</f>
        <v>18.605829331886376</v>
      </c>
      <c r="P26" s="58">
        <f>'Cash Flow'!X27</f>
        <v>0.15223789221630724</v>
      </c>
      <c r="Q26" s="59">
        <v>21</v>
      </c>
      <c r="Z26" s="1"/>
      <c r="AM26" s="24"/>
    </row>
    <row r="27" spans="2:81" x14ac:dyDescent="0.25">
      <c r="K27" s="59">
        <v>22</v>
      </c>
      <c r="L27" s="4">
        <f>'Cash Flow'!I28</f>
        <v>766709.177409139</v>
      </c>
      <c r="M27" s="4">
        <f>'Cash Flow'!T28</f>
        <v>12713.949894959624</v>
      </c>
      <c r="N27" s="4">
        <f>'Cash Flow'!V28</f>
        <v>753995.22751417942</v>
      </c>
      <c r="O27" s="58">
        <f>'Cash Flow'!W28</f>
        <v>59.304561819383657</v>
      </c>
      <c r="P27" s="58">
        <f>'Cash Flow'!X28</f>
        <v>0.20482787695958371</v>
      </c>
      <c r="Q27" s="59">
        <v>22</v>
      </c>
      <c r="Z27" s="1"/>
      <c r="AM27" s="24"/>
    </row>
    <row r="28" spans="2:81" x14ac:dyDescent="0.25">
      <c r="F28" s="83" t="s">
        <v>127</v>
      </c>
      <c r="G28" s="10">
        <f>SUM(G11,G26)</f>
        <v>3729.166666666667</v>
      </c>
      <c r="J28" s="4"/>
      <c r="K28" s="59">
        <v>23</v>
      </c>
      <c r="L28" s="4">
        <f>'Cash Flow'!I29</f>
        <v>811091.19433648419</v>
      </c>
      <c r="M28" s="4">
        <f>'Cash Flow'!T29</f>
        <v>-12571.352060923069</v>
      </c>
      <c r="N28" s="4">
        <f>'Cash Flow'!V29</f>
        <v>823662.54639740731</v>
      </c>
      <c r="O28" s="58" t="str">
        <f>'Cash Flow'!W29</f>
        <v>inf</v>
      </c>
      <c r="P28" s="58" t="str">
        <f>'Cash Flow'!X29</f>
        <v>inf</v>
      </c>
      <c r="Q28" s="59">
        <v>23</v>
      </c>
      <c r="Z28" s="1"/>
    </row>
    <row r="29" spans="2:81" x14ac:dyDescent="0.25">
      <c r="F29" s="8" t="s">
        <v>53</v>
      </c>
      <c r="G29" s="9">
        <f>G26+G14</f>
        <v>4082.0771776338161</v>
      </c>
      <c r="K29" s="59">
        <v>24</v>
      </c>
      <c r="L29" s="4">
        <f>'Cash Flow'!I30</f>
        <v>857221.75296225969</v>
      </c>
      <c r="M29" s="4">
        <f>'Cash Flow'!T30</f>
        <v>-38970.515848813062</v>
      </c>
      <c r="N29" s="4">
        <f>'Cash Flow'!V30</f>
        <v>896192.2688110728</v>
      </c>
      <c r="O29" s="58" t="str">
        <f>'Cash Flow'!W30</f>
        <v>inf</v>
      </c>
      <c r="P29" s="58" t="str">
        <f>'Cash Flow'!X30</f>
        <v>inf</v>
      </c>
      <c r="Q29" s="59">
        <v>24</v>
      </c>
      <c r="Z29" s="1"/>
    </row>
    <row r="30" spans="2:81" x14ac:dyDescent="0.25">
      <c r="H30" s="4"/>
      <c r="K30" s="43">
        <v>25</v>
      </c>
      <c r="L30" s="46">
        <f>'Cash Flow'!I31</f>
        <v>905170.64733295783</v>
      </c>
      <c r="M30" s="46">
        <f>'Cash Flow'!T31</f>
        <v>-66528.095941990556</v>
      </c>
      <c r="N30" s="46">
        <f>'Cash Flow'!V31</f>
        <v>971698.74327494833</v>
      </c>
      <c r="O30" s="60" t="str">
        <f>'Cash Flow'!W31</f>
        <v>inf</v>
      </c>
      <c r="P30" s="60" t="str">
        <f>'Cash Flow'!X31</f>
        <v>inf</v>
      </c>
      <c r="Q30" s="43">
        <v>25</v>
      </c>
      <c r="Z30" s="1"/>
    </row>
    <row r="31" spans="2:81" ht="15.75" thickBot="1" x14ac:dyDescent="0.3">
      <c r="F31" s="5" t="s">
        <v>66</v>
      </c>
      <c r="K31" s="59">
        <v>26</v>
      </c>
      <c r="L31" s="4">
        <f>'Cash Flow'!I32</f>
        <v>955010.46244193777</v>
      </c>
      <c r="M31" s="4">
        <f>'Cash Flow'!T32</f>
        <v>-95290.42899266741</v>
      </c>
      <c r="N31" s="4">
        <f>'Cash Flow'!V32</f>
        <v>1050300.8914346052</v>
      </c>
      <c r="O31" s="58" t="str">
        <f>'Cash Flow'!W32</f>
        <v>inf</v>
      </c>
      <c r="P31" s="58" t="str">
        <f>'Cash Flow'!X32</f>
        <v>inf</v>
      </c>
      <c r="Q31" s="59">
        <v>26</v>
      </c>
      <c r="Z31" s="1"/>
    </row>
    <row r="32" spans="2:81" ht="16.5" thickTop="1" thickBot="1" x14ac:dyDescent="0.3">
      <c r="F32" s="83" t="s">
        <v>114</v>
      </c>
      <c r="G32" s="1">
        <f>IF(D17="$", C17, C17*C5)</f>
        <v>500000</v>
      </c>
      <c r="H32" s="13">
        <f>G32/C5</f>
        <v>1</v>
      </c>
      <c r="K32" s="59">
        <v>27</v>
      </c>
      <c r="L32" s="4">
        <f>'Cash Flow'!I33</f>
        <v>1006816.6858627996</v>
      </c>
      <c r="M32" s="4">
        <f>'Cash Flow'!T33</f>
        <v>-125305.70511914318</v>
      </c>
      <c r="N32" s="4">
        <f>'Cash Flow'!V33</f>
        <v>1132122.3909819429</v>
      </c>
      <c r="O32" s="58" t="str">
        <f>'Cash Flow'!W33</f>
        <v>inf</v>
      </c>
      <c r="P32" s="58" t="str">
        <f>'Cash Flow'!X33</f>
        <v>inf</v>
      </c>
      <c r="Q32" s="59">
        <v>27</v>
      </c>
      <c r="Z32" s="1"/>
    </row>
    <row r="33" spans="6:26" ht="15.75" thickTop="1" x14ac:dyDescent="0.25">
      <c r="F33" s="83" t="s">
        <v>113</v>
      </c>
      <c r="G33" s="6">
        <f>C18</f>
        <v>0.04</v>
      </c>
      <c r="K33" s="59">
        <v>28</v>
      </c>
      <c r="L33" s="4">
        <f>'Cash Flow'!I34</f>
        <v>1060667.8238480708</v>
      </c>
      <c r="M33" s="4">
        <f>'Cash Flow'!T34</f>
        <v>-156624.04204445024</v>
      </c>
      <c r="N33" s="4">
        <f>'Cash Flow'!V34</f>
        <v>1217291.8658925211</v>
      </c>
      <c r="O33" s="58" t="str">
        <f>'Cash Flow'!W34</f>
        <v>inf</v>
      </c>
      <c r="P33" s="58" t="str">
        <f>'Cash Flow'!X34</f>
        <v>inf</v>
      </c>
      <c r="Q33" s="59">
        <v>28</v>
      </c>
      <c r="Z33" s="1"/>
    </row>
    <row r="34" spans="6:26" x14ac:dyDescent="0.25">
      <c r="F34" s="83" t="s">
        <v>56</v>
      </c>
      <c r="G34" s="4">
        <f>C5*H34</f>
        <v>40000</v>
      </c>
      <c r="H34" s="6">
        <f>C19</f>
        <v>0.08</v>
      </c>
      <c r="K34" s="59">
        <v>29</v>
      </c>
      <c r="L34" s="4">
        <f>'Cash Flow'!I35</f>
        <v>1116645.5220718128</v>
      </c>
      <c r="M34" s="4">
        <f>'Cash Flow'!T35</f>
        <v>-189297.56220054132</v>
      </c>
      <c r="N34" s="4">
        <f>'Cash Flow'!V35</f>
        <v>1305943.0842723541</v>
      </c>
      <c r="O34" s="58" t="str">
        <f>'Cash Flow'!W35</f>
        <v>inf</v>
      </c>
      <c r="P34" s="58" t="str">
        <f>'Cash Flow'!X35</f>
        <v>inf</v>
      </c>
      <c r="Q34" s="59">
        <v>29</v>
      </c>
      <c r="Z34" s="1"/>
    </row>
    <row r="35" spans="6:26" x14ac:dyDescent="0.25">
      <c r="K35" s="43">
        <v>30</v>
      </c>
      <c r="L35" s="46">
        <f>'Cash Flow'!I36</f>
        <v>1174834.6912019099</v>
      </c>
      <c r="M35" s="46">
        <f>'Cash Flow'!T36</f>
        <v>-223380.4729166482</v>
      </c>
      <c r="N35" s="46">
        <f>'Cash Flow'!V36</f>
        <v>1398215.1641185582</v>
      </c>
      <c r="O35" s="60" t="str">
        <f>'Cash Flow'!W36</f>
        <v>inf</v>
      </c>
      <c r="P35" s="60" t="str">
        <f>'Cash Flow'!X36</f>
        <v>inf</v>
      </c>
      <c r="Q35" s="43">
        <v>30</v>
      </c>
      <c r="Z35" s="1"/>
    </row>
    <row r="36" spans="6:26" x14ac:dyDescent="0.25">
      <c r="F36" s="83" t="s">
        <v>88</v>
      </c>
      <c r="G36" s="1">
        <f>C20</f>
        <v>2500</v>
      </c>
      <c r="K36" s="59">
        <v>31</v>
      </c>
      <c r="L36" s="4">
        <f>'Cash Flow'!I37</f>
        <v>1235323.6374952204</v>
      </c>
      <c r="M36" s="4">
        <f>'Cash Flow'!T37</f>
        <v>-258929.14981517143</v>
      </c>
      <c r="N36" s="4">
        <f>'Cash Flow'!V37</f>
        <v>1494252.7873103919</v>
      </c>
      <c r="O36" s="58" t="str">
        <f>'Cash Flow'!W37</f>
        <v>inf</v>
      </c>
      <c r="P36" s="58" t="str">
        <f>'Cash Flow'!X37</f>
        <v>inf</v>
      </c>
      <c r="Q36" s="59">
        <v>31</v>
      </c>
      <c r="Z36" s="1"/>
    </row>
    <row r="37" spans="6:26" x14ac:dyDescent="0.25">
      <c r="F37" s="83" t="s">
        <v>112</v>
      </c>
      <c r="G37" s="35">
        <f>C21</f>
        <v>0.04</v>
      </c>
      <c r="K37" s="59">
        <v>32</v>
      </c>
      <c r="L37" s="4">
        <f>'Cash Flow'!I38</f>
        <v>1298204.1986165121</v>
      </c>
      <c r="M37" s="4">
        <f>'Cash Flow'!T38</f>
        <v>-296002.22354340757</v>
      </c>
      <c r="N37" s="4">
        <f>'Cash Flow'!V38</f>
        <v>1594206.4221599197</v>
      </c>
      <c r="O37" s="58" t="str">
        <f>'Cash Flow'!W38</f>
        <v>inf</v>
      </c>
      <c r="P37" s="58" t="str">
        <f>'Cash Flow'!X38</f>
        <v>inf</v>
      </c>
      <c r="Q37" s="59">
        <v>32</v>
      </c>
      <c r="Z37" s="1"/>
    </row>
    <row r="38" spans="6:26" x14ac:dyDescent="0.25">
      <c r="K38" s="59">
        <v>33</v>
      </c>
      <c r="L38" s="4">
        <f>'Cash Flow'!I39</f>
        <v>1363571.8848901265</v>
      </c>
      <c r="M38" s="4">
        <f>'Cash Flow'!T39</f>
        <v>-334660.66997454496</v>
      </c>
      <c r="N38" s="4">
        <f>'Cash Flow'!V39</f>
        <v>1698232.5548646715</v>
      </c>
      <c r="O38" s="58" t="str">
        <f>'Cash Flow'!W39</f>
        <v>inf</v>
      </c>
      <c r="P38" s="58" t="str">
        <f>'Cash Flow'!X39</f>
        <v>inf</v>
      </c>
      <c r="Q38" s="59">
        <v>33</v>
      </c>
    </row>
    <row r="39" spans="6:26" x14ac:dyDescent="0.25">
      <c r="F39" s="83"/>
      <c r="K39" s="59">
        <v>34</v>
      </c>
      <c r="L39" s="4">
        <f>'Cash Flow'!I40</f>
        <v>1431526.026201688</v>
      </c>
      <c r="M39" s="4">
        <f>'Cash Flow'!T40</f>
        <v>-374967.90401670005</v>
      </c>
      <c r="N39" s="4">
        <f>'Cash Flow'!V40</f>
        <v>1806493.9302183881</v>
      </c>
      <c r="O39" s="58" t="str">
        <f>'Cash Flow'!W40</f>
        <v>inf</v>
      </c>
      <c r="P39" s="58" t="str">
        <f>'Cash Flow'!X40</f>
        <v>inf</v>
      </c>
      <c r="Q39" s="59">
        <v>34</v>
      </c>
    </row>
    <row r="40" spans="6:26" x14ac:dyDescent="0.25">
      <c r="K40" s="43">
        <v>35</v>
      </c>
      <c r="L40" s="46">
        <f>'Cash Flow'!I41</f>
        <v>1502169.924775851</v>
      </c>
      <c r="M40" s="46">
        <f>'Cash Flow'!T41</f>
        <v>-416989.87717431335</v>
      </c>
      <c r="N40" s="46">
        <f>'Cash Flow'!V41</f>
        <v>1919159.8019501644</v>
      </c>
      <c r="O40" s="60" t="str">
        <f>'Cash Flow'!W41</f>
        <v>inf</v>
      </c>
      <c r="P40" s="60" t="str">
        <f>'Cash Flow'!X41</f>
        <v>inf</v>
      </c>
      <c r="Q40" s="43">
        <v>35</v>
      </c>
    </row>
    <row r="43" spans="6:26" x14ac:dyDescent="0.25">
      <c r="G43"/>
      <c r="N43"/>
    </row>
    <row r="44" spans="6:26" x14ac:dyDescent="0.25">
      <c r="G44"/>
      <c r="N44"/>
    </row>
    <row r="45" spans="6:26" x14ac:dyDescent="0.25">
      <c r="G45"/>
      <c r="N45"/>
    </row>
    <row r="46" spans="6:26" x14ac:dyDescent="0.25">
      <c r="G46"/>
      <c r="N46"/>
    </row>
    <row r="47" spans="6:26" x14ac:dyDescent="0.25">
      <c r="G47"/>
      <c r="N47"/>
    </row>
    <row r="48" spans="6:26" x14ac:dyDescent="0.25">
      <c r="G48"/>
      <c r="N48"/>
    </row>
    <row r="49" spans="7:14" x14ac:dyDescent="0.25">
      <c r="G49"/>
      <c r="N49"/>
    </row>
    <row r="50" spans="7:14" x14ac:dyDescent="0.25">
      <c r="G50"/>
      <c r="N50"/>
    </row>
    <row r="51" spans="7:14" x14ac:dyDescent="0.25">
      <c r="G51"/>
      <c r="N51"/>
    </row>
    <row r="52" spans="7:14" x14ac:dyDescent="0.25">
      <c r="G52"/>
      <c r="N52"/>
    </row>
    <row r="53" spans="7:14" x14ac:dyDescent="0.25">
      <c r="G53"/>
      <c r="N53"/>
    </row>
    <row r="54" spans="7:14" x14ac:dyDescent="0.25">
      <c r="G54"/>
      <c r="N54"/>
    </row>
    <row r="55" spans="7:14" x14ac:dyDescent="0.25">
      <c r="G55"/>
      <c r="N55"/>
    </row>
    <row r="56" spans="7:14" x14ac:dyDescent="0.25">
      <c r="G56"/>
      <c r="N56"/>
    </row>
    <row r="57" spans="7:14" x14ac:dyDescent="0.25">
      <c r="G57"/>
      <c r="N57"/>
    </row>
    <row r="58" spans="7:14" x14ac:dyDescent="0.25">
      <c r="G58"/>
      <c r="N58"/>
    </row>
    <row r="59" spans="7:14" x14ac:dyDescent="0.25">
      <c r="G59"/>
      <c r="N59"/>
    </row>
    <row r="60" spans="7:14" x14ac:dyDescent="0.25">
      <c r="G60"/>
      <c r="N60"/>
    </row>
    <row r="61" spans="7:14" x14ac:dyDescent="0.25">
      <c r="G61"/>
      <c r="N61"/>
    </row>
    <row r="62" spans="7:14" x14ac:dyDescent="0.25">
      <c r="G62"/>
      <c r="N62"/>
    </row>
    <row r="63" spans="7:14" x14ac:dyDescent="0.25">
      <c r="G63"/>
      <c r="N63"/>
    </row>
    <row r="64" spans="7:14" x14ac:dyDescent="0.25">
      <c r="G64"/>
      <c r="N64"/>
    </row>
    <row r="65" spans="7:14" x14ac:dyDescent="0.25">
      <c r="G65"/>
      <c r="N65"/>
    </row>
    <row r="66" spans="7:14" x14ac:dyDescent="0.25">
      <c r="G66"/>
      <c r="N66"/>
    </row>
    <row r="67" spans="7:14" x14ac:dyDescent="0.25">
      <c r="G67"/>
      <c r="N67"/>
    </row>
    <row r="68" spans="7:14" x14ac:dyDescent="0.25">
      <c r="G68"/>
      <c r="N68"/>
    </row>
    <row r="69" spans="7:14" x14ac:dyDescent="0.25">
      <c r="G69"/>
      <c r="N69"/>
    </row>
    <row r="70" spans="7:14" x14ac:dyDescent="0.25">
      <c r="G70"/>
      <c r="N70"/>
    </row>
    <row r="71" spans="7:14" x14ac:dyDescent="0.25">
      <c r="G71"/>
      <c r="N71"/>
    </row>
    <row r="72" spans="7:14" x14ac:dyDescent="0.25">
      <c r="G72"/>
      <c r="N72"/>
    </row>
    <row r="73" spans="7:14" x14ac:dyDescent="0.25">
      <c r="G73"/>
      <c r="N73"/>
    </row>
    <row r="74" spans="7:14" x14ac:dyDescent="0.25">
      <c r="G74"/>
      <c r="N74"/>
    </row>
    <row r="75" spans="7:14" x14ac:dyDescent="0.25">
      <c r="G75"/>
      <c r="N75"/>
    </row>
    <row r="76" spans="7:14" x14ac:dyDescent="0.25">
      <c r="G76"/>
      <c r="N76"/>
    </row>
    <row r="77" spans="7:14" x14ac:dyDescent="0.25">
      <c r="G77"/>
      <c r="N77"/>
    </row>
    <row r="78" spans="7:14" x14ac:dyDescent="0.25">
      <c r="G78"/>
      <c r="N78"/>
    </row>
    <row r="79" spans="7:14" x14ac:dyDescent="0.25">
      <c r="G79"/>
      <c r="N79"/>
    </row>
    <row r="80" spans="7:14" x14ac:dyDescent="0.25">
      <c r="G80"/>
      <c r="N80"/>
    </row>
    <row r="81" spans="7:14" x14ac:dyDescent="0.25">
      <c r="G81"/>
      <c r="N81"/>
    </row>
    <row r="82" spans="7:14" x14ac:dyDescent="0.25">
      <c r="G82"/>
      <c r="N82"/>
    </row>
    <row r="83" spans="7:14" x14ac:dyDescent="0.25">
      <c r="G83"/>
      <c r="N83"/>
    </row>
    <row r="84" spans="7:14" x14ac:dyDescent="0.25">
      <c r="G84"/>
      <c r="N84"/>
    </row>
    <row r="85" spans="7:14" x14ac:dyDescent="0.25">
      <c r="G85"/>
      <c r="N85"/>
    </row>
    <row r="86" spans="7:14" x14ac:dyDescent="0.25">
      <c r="G86"/>
      <c r="N86"/>
    </row>
    <row r="87" spans="7:14" x14ac:dyDescent="0.25">
      <c r="G87"/>
      <c r="N87"/>
    </row>
    <row r="88" spans="7:14" x14ac:dyDescent="0.25">
      <c r="G88"/>
      <c r="N88"/>
    </row>
    <row r="89" spans="7:14" x14ac:dyDescent="0.25">
      <c r="G89"/>
      <c r="N89"/>
    </row>
    <row r="90" spans="7:14" x14ac:dyDescent="0.25">
      <c r="G90"/>
      <c r="N90"/>
    </row>
    <row r="91" spans="7:14" x14ac:dyDescent="0.25">
      <c r="G91"/>
      <c r="N91"/>
    </row>
    <row r="92" spans="7:14" x14ac:dyDescent="0.25">
      <c r="G92"/>
      <c r="N92"/>
    </row>
    <row r="93" spans="7:14" x14ac:dyDescent="0.25">
      <c r="G93"/>
      <c r="N93"/>
    </row>
  </sheetData>
  <conditionalFormatting sqref="W50:W85">
    <cfRule type="cellIs" dxfId="1" priority="1" operator="lessThan">
      <formula>0</formula>
    </cfRule>
  </conditionalFormatting>
  <dataValidations count="1">
    <dataValidation type="list" allowBlank="1" showInputMessage="1" showErrorMessage="1" sqref="D6 D17 D11:D14" xr:uid="{6B411569-42D0-4187-834C-D04A1007825A}">
      <formula1>"$,%"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095F9-2E04-4DE7-BB3C-992D72A94547}">
  <sheetPr codeName="Sheet2"/>
  <dimension ref="A1:O362"/>
  <sheetViews>
    <sheetView zoomScaleNormal="100" workbookViewId="0">
      <pane ySplit="1" topLeftCell="A2" activePane="bottomLeft" state="frozen"/>
      <selection pane="bottomLeft" activeCell="H3" sqref="H3"/>
    </sheetView>
  </sheetViews>
  <sheetFormatPr defaultRowHeight="16.5" thickTop="1" thickBottom="1" x14ac:dyDescent="0.3"/>
  <cols>
    <col min="1" max="1" width="29.7109375" bestFit="1" customWidth="1"/>
    <col min="2" max="2" width="13.5703125" bestFit="1" customWidth="1"/>
    <col min="3" max="3" width="13.5703125" customWidth="1"/>
    <col min="4" max="4" width="9.140625" style="20"/>
    <col min="7" max="7" width="16.5703125" bestFit="1" customWidth="1"/>
    <col min="8" max="8" width="17.42578125" bestFit="1" customWidth="1"/>
    <col min="9" max="9" width="18.7109375" bestFit="1" customWidth="1"/>
    <col min="10" max="10" width="9.140625" style="20"/>
    <col min="11" max="11" width="23.7109375" bestFit="1" customWidth="1"/>
    <col min="12" max="12" width="24.42578125" bestFit="1" customWidth="1"/>
    <col min="13" max="13" width="14.5703125" bestFit="1" customWidth="1"/>
    <col min="14" max="14" width="9.140625" style="20"/>
  </cols>
  <sheetData>
    <row r="1" spans="1:15" thickTop="1" thickBot="1" x14ac:dyDescent="0.3">
      <c r="G1" s="5" t="s">
        <v>21</v>
      </c>
      <c r="H1" s="5" t="s">
        <v>22</v>
      </c>
      <c r="I1" s="5" t="s">
        <v>23</v>
      </c>
      <c r="K1" s="5" t="s">
        <v>39</v>
      </c>
      <c r="L1" s="5" t="s">
        <v>40</v>
      </c>
      <c r="M1" s="5" t="s">
        <v>41</v>
      </c>
    </row>
    <row r="2" spans="1:15" thickTop="1" thickBot="1" x14ac:dyDescent="0.3">
      <c r="A2" t="s">
        <v>5</v>
      </c>
      <c r="B2" s="11">
        <f>Main!G7</f>
        <v>400000</v>
      </c>
      <c r="I2" s="4">
        <f>B2</f>
        <v>400000</v>
      </c>
    </row>
    <row r="3" spans="1:15" thickTop="1" thickBot="1" x14ac:dyDescent="0.3">
      <c r="A3" t="s">
        <v>2</v>
      </c>
      <c r="B3" s="37">
        <f>Main!C7</f>
        <v>6.6250000000000003E-2</v>
      </c>
      <c r="E3" t="s">
        <v>6</v>
      </c>
      <c r="F3">
        <v>1</v>
      </c>
      <c r="G3" s="4">
        <f>I2*$B$3/12</f>
        <v>2208.3333333333335</v>
      </c>
      <c r="H3" s="1">
        <f>IF($B$5+$B$6&gt;=I2+G3, I2, ($B$5+$B$6)-G3)</f>
        <v>352.91051096714909</v>
      </c>
      <c r="I3" s="4">
        <f>MAX(I2-H3, 0)</f>
        <v>399647.08948903286</v>
      </c>
      <c r="K3" s="4">
        <f>G3+K2</f>
        <v>2208.3333333333335</v>
      </c>
      <c r="L3" s="4">
        <f>H3+L2</f>
        <v>352.91051096714909</v>
      </c>
      <c r="M3" s="4">
        <f>L3+K3</f>
        <v>2561.2438443004826</v>
      </c>
      <c r="O3" t="s">
        <v>108</v>
      </c>
    </row>
    <row r="4" spans="1:15" thickTop="1" thickBot="1" x14ac:dyDescent="0.3">
      <c r="A4" t="s">
        <v>51</v>
      </c>
      <c r="B4" s="11">
        <f>Main!G11</f>
        <v>2208.3333333333335</v>
      </c>
      <c r="F4">
        <v>2</v>
      </c>
      <c r="G4" s="4">
        <f>I3*$B$3/12</f>
        <v>2206.3849732207022</v>
      </c>
      <c r="H4" s="1">
        <f t="shared" ref="H4:H67" si="0">IF($B$5+$B$6&gt;=I3+G4, I3, ($B$5+$B$6)-G4)</f>
        <v>354.85887107978033</v>
      </c>
      <c r="I4" s="4">
        <f>MAX(I3-H4, 0)</f>
        <v>399292.23061795306</v>
      </c>
      <c r="K4" s="4">
        <f>G4+K3</f>
        <v>4414.7183065540357</v>
      </c>
      <c r="L4" s="4">
        <f>H4+L3</f>
        <v>707.76938204692942</v>
      </c>
      <c r="M4" s="4">
        <f>L4+K4</f>
        <v>5122.4876886009652</v>
      </c>
    </row>
    <row r="5" spans="1:15" thickTop="1" thickBot="1" x14ac:dyDescent="0.3">
      <c r="A5" t="s">
        <v>109</v>
      </c>
      <c r="B5" s="88">
        <f>Main!G14</f>
        <v>2561.2438443004826</v>
      </c>
      <c r="F5">
        <v>3</v>
      </c>
      <c r="G5" s="4">
        <f t="shared" ref="G5:G62" si="1">I4*$B$3/12</f>
        <v>2204.4258565366158</v>
      </c>
      <c r="H5" s="1">
        <f t="shared" si="0"/>
        <v>356.81798776386677</v>
      </c>
      <c r="I5" s="4">
        <f t="shared" ref="I5:I68" si="2">MAX(I4-H5, 0)</f>
        <v>398935.41263018921</v>
      </c>
      <c r="K5" s="4">
        <f t="shared" ref="K5:K68" si="3">G5+K4</f>
        <v>6619.144163090652</v>
      </c>
      <c r="L5" s="4">
        <f t="shared" ref="L5:L68" si="4">H5+L4</f>
        <v>1064.5873698107962</v>
      </c>
      <c r="M5" s="4">
        <f t="shared" ref="M5:M68" si="5">L5+K5</f>
        <v>7683.7315329014482</v>
      </c>
    </row>
    <row r="6" spans="1:15" thickTop="1" thickBot="1" x14ac:dyDescent="0.3">
      <c r="A6" t="s">
        <v>105</v>
      </c>
      <c r="B6" s="88">
        <f>Main!C8</f>
        <v>0</v>
      </c>
      <c r="F6">
        <v>4</v>
      </c>
      <c r="G6" s="4">
        <f t="shared" si="1"/>
        <v>2202.4559238958363</v>
      </c>
      <c r="H6" s="1">
        <f t="shared" si="0"/>
        <v>358.78792040464623</v>
      </c>
      <c r="I6" s="4">
        <f t="shared" si="2"/>
        <v>398576.62470978458</v>
      </c>
      <c r="K6" s="4">
        <f t="shared" si="3"/>
        <v>8821.6000869864874</v>
      </c>
      <c r="L6" s="4">
        <f t="shared" si="4"/>
        <v>1423.3752902154424</v>
      </c>
      <c r="M6" s="4">
        <f t="shared" si="5"/>
        <v>10244.97537720193</v>
      </c>
    </row>
    <row r="7" spans="1:15" thickTop="1" thickBot="1" x14ac:dyDescent="0.3">
      <c r="F7">
        <v>5</v>
      </c>
      <c r="G7" s="4">
        <f t="shared" si="1"/>
        <v>2200.4751155852691</v>
      </c>
      <c r="H7" s="1">
        <f t="shared" si="0"/>
        <v>360.76872871521346</v>
      </c>
      <c r="I7" s="4">
        <f t="shared" si="2"/>
        <v>398215.85598106938</v>
      </c>
      <c r="K7" s="4">
        <f t="shared" si="3"/>
        <v>11022.075202571756</v>
      </c>
      <c r="L7" s="4">
        <f t="shared" si="4"/>
        <v>1784.1440189306559</v>
      </c>
      <c r="M7" s="4">
        <f t="shared" si="5"/>
        <v>12806.219221502412</v>
      </c>
    </row>
    <row r="8" spans="1:15" thickTop="1" thickBot="1" x14ac:dyDescent="0.3">
      <c r="F8">
        <v>6</v>
      </c>
      <c r="G8" s="4">
        <f t="shared" si="1"/>
        <v>2198.4833715621539</v>
      </c>
      <c r="H8" s="1">
        <f t="shared" si="0"/>
        <v>362.76047273832864</v>
      </c>
      <c r="I8" s="4">
        <f t="shared" si="2"/>
        <v>397853.09550833108</v>
      </c>
      <c r="K8" s="4">
        <f t="shared" si="3"/>
        <v>13220.558574133909</v>
      </c>
      <c r="L8" s="4">
        <f t="shared" si="4"/>
        <v>2146.9044916689845</v>
      </c>
      <c r="M8" s="4">
        <f t="shared" si="5"/>
        <v>15367.463065802895</v>
      </c>
    </row>
    <row r="9" spans="1:15" thickTop="1" thickBot="1" x14ac:dyDescent="0.3">
      <c r="B9" s="6"/>
      <c r="C9" s="6"/>
      <c r="F9">
        <v>7</v>
      </c>
      <c r="G9" s="4">
        <f t="shared" si="1"/>
        <v>2196.4806314522448</v>
      </c>
      <c r="H9" s="1">
        <f t="shared" si="0"/>
        <v>364.7632128482378</v>
      </c>
      <c r="I9" s="4">
        <f t="shared" si="2"/>
        <v>397488.33229548286</v>
      </c>
      <c r="K9" s="4">
        <f t="shared" si="3"/>
        <v>15417.039205586154</v>
      </c>
      <c r="L9" s="4">
        <f t="shared" si="4"/>
        <v>2511.6677045172223</v>
      </c>
      <c r="M9" s="4">
        <f t="shared" si="5"/>
        <v>17928.706910103378</v>
      </c>
    </row>
    <row r="10" spans="1:15" thickTop="1" thickBot="1" x14ac:dyDescent="0.3">
      <c r="F10">
        <v>8</v>
      </c>
      <c r="G10" s="4">
        <f t="shared" si="1"/>
        <v>2194.4668345479781</v>
      </c>
      <c r="H10" s="1">
        <f t="shared" si="0"/>
        <v>366.77700975250445</v>
      </c>
      <c r="I10" s="4">
        <f t="shared" si="2"/>
        <v>397121.55528573034</v>
      </c>
      <c r="K10" s="4">
        <f t="shared" si="3"/>
        <v>17611.506040134132</v>
      </c>
      <c r="L10" s="4">
        <f t="shared" si="4"/>
        <v>2878.4447142697268</v>
      </c>
      <c r="M10" s="4">
        <f t="shared" si="5"/>
        <v>20489.950754403861</v>
      </c>
    </row>
    <row r="11" spans="1:15" thickTop="1" thickBot="1" x14ac:dyDescent="0.3">
      <c r="F11">
        <v>9</v>
      </c>
      <c r="G11" s="4">
        <f t="shared" si="1"/>
        <v>2192.4419198066366</v>
      </c>
      <c r="H11" s="1">
        <f t="shared" si="0"/>
        <v>368.80192449384595</v>
      </c>
      <c r="I11" s="4">
        <f t="shared" si="2"/>
        <v>396752.75336123648</v>
      </c>
      <c r="K11" s="4">
        <f t="shared" si="3"/>
        <v>19803.947959940768</v>
      </c>
      <c r="L11" s="4">
        <f t="shared" si="4"/>
        <v>3247.2466387635727</v>
      </c>
      <c r="M11" s="4">
        <f t="shared" si="5"/>
        <v>23051.19459870434</v>
      </c>
    </row>
    <row r="12" spans="1:15" thickTop="1" thickBot="1" x14ac:dyDescent="0.3">
      <c r="F12">
        <v>10</v>
      </c>
      <c r="G12" s="4">
        <f t="shared" si="1"/>
        <v>2190.4058258484934</v>
      </c>
      <c r="H12" s="1">
        <f t="shared" si="0"/>
        <v>370.83801845198923</v>
      </c>
      <c r="I12" s="4">
        <f t="shared" si="2"/>
        <v>396381.91534278449</v>
      </c>
      <c r="K12" s="4">
        <f t="shared" si="3"/>
        <v>21994.353785789262</v>
      </c>
      <c r="L12" s="4">
        <f t="shared" si="4"/>
        <v>3618.0846572155619</v>
      </c>
      <c r="M12" s="4">
        <f t="shared" si="5"/>
        <v>25612.438443004823</v>
      </c>
    </row>
    <row r="13" spans="1:15" thickTop="1" thickBot="1" x14ac:dyDescent="0.3">
      <c r="F13">
        <v>11</v>
      </c>
      <c r="G13" s="4">
        <f t="shared" si="1"/>
        <v>2188.3584909549559</v>
      </c>
      <c r="H13" s="1">
        <f t="shared" si="0"/>
        <v>372.88535334552671</v>
      </c>
      <c r="I13" s="4">
        <f t="shared" si="2"/>
        <v>396009.02998943895</v>
      </c>
      <c r="K13" s="4">
        <f t="shared" si="3"/>
        <v>24182.71227674422</v>
      </c>
      <c r="L13" s="4">
        <f t="shared" si="4"/>
        <v>3990.9700105610887</v>
      </c>
      <c r="M13" s="4">
        <f t="shared" si="5"/>
        <v>28173.68228730531</v>
      </c>
    </row>
    <row r="14" spans="1:15" thickTop="1" thickBot="1" x14ac:dyDescent="0.3">
      <c r="F14">
        <v>12</v>
      </c>
      <c r="G14" s="4">
        <f t="shared" si="1"/>
        <v>2186.2998530666941</v>
      </c>
      <c r="H14" s="1">
        <f t="shared" si="0"/>
        <v>374.94399123378844</v>
      </c>
      <c r="I14" s="4">
        <f t="shared" si="2"/>
        <v>395634.08599820518</v>
      </c>
      <c r="K14" s="4">
        <f t="shared" si="3"/>
        <v>26369.012129810915</v>
      </c>
      <c r="L14" s="4">
        <f t="shared" si="4"/>
        <v>4365.9140017948775</v>
      </c>
      <c r="M14" s="4">
        <f t="shared" si="5"/>
        <v>30734.926131605793</v>
      </c>
      <c r="O14" t="s">
        <v>107</v>
      </c>
    </row>
    <row r="15" spans="1:15" thickTop="1" thickBot="1" x14ac:dyDescent="0.3">
      <c r="E15" t="s">
        <v>7</v>
      </c>
      <c r="F15">
        <v>1</v>
      </c>
      <c r="G15" s="4">
        <f t="shared" si="1"/>
        <v>2184.2298497817578</v>
      </c>
      <c r="H15" s="1">
        <f t="shared" si="0"/>
        <v>377.01399451872476</v>
      </c>
      <c r="I15" s="4">
        <f t="shared" si="2"/>
        <v>395257.07200368645</v>
      </c>
      <c r="K15" s="4">
        <f t="shared" si="3"/>
        <v>28553.241979592673</v>
      </c>
      <c r="L15" s="4">
        <f t="shared" si="4"/>
        <v>4742.9279963136023</v>
      </c>
      <c r="M15" s="4">
        <f t="shared" si="5"/>
        <v>33296.169975906276</v>
      </c>
    </row>
    <row r="16" spans="1:15" thickTop="1" thickBot="1" x14ac:dyDescent="0.3">
      <c r="A16" s="12"/>
      <c r="B16" s="12"/>
      <c r="C16" s="12"/>
      <c r="F16">
        <v>2</v>
      </c>
      <c r="G16" s="4">
        <f t="shared" si="1"/>
        <v>2182.1484183536854</v>
      </c>
      <c r="H16" s="1">
        <f t="shared" si="0"/>
        <v>379.09542594679715</v>
      </c>
      <c r="I16" s="4">
        <f t="shared" si="2"/>
        <v>394877.97657773964</v>
      </c>
      <c r="K16" s="4">
        <f t="shared" si="3"/>
        <v>30735.390397946358</v>
      </c>
      <c r="L16" s="4">
        <f t="shared" si="4"/>
        <v>5122.0234222603995</v>
      </c>
      <c r="M16" s="4">
        <f t="shared" si="5"/>
        <v>35857.413820206755</v>
      </c>
    </row>
    <row r="17" spans="2:13" thickTop="1" thickBot="1" x14ac:dyDescent="0.3">
      <c r="F17">
        <v>3</v>
      </c>
      <c r="G17" s="4">
        <f t="shared" si="1"/>
        <v>2180.0554956896044</v>
      </c>
      <c r="H17" s="1">
        <f t="shared" si="0"/>
        <v>381.18834861087817</v>
      </c>
      <c r="I17" s="4">
        <f t="shared" si="2"/>
        <v>394496.78822912875</v>
      </c>
      <c r="K17" s="4">
        <f t="shared" si="3"/>
        <v>32915.445893635959</v>
      </c>
      <c r="L17" s="4">
        <f t="shared" si="4"/>
        <v>5503.2117708712776</v>
      </c>
      <c r="M17" s="4">
        <f t="shared" si="5"/>
        <v>38418.657664507235</v>
      </c>
    </row>
    <row r="18" spans="2:13" thickTop="1" thickBot="1" x14ac:dyDescent="0.3">
      <c r="F18">
        <v>4</v>
      </c>
      <c r="G18" s="4">
        <f t="shared" si="1"/>
        <v>2177.9510183483148</v>
      </c>
      <c r="H18" s="1">
        <f t="shared" si="0"/>
        <v>383.29282595216773</v>
      </c>
      <c r="I18" s="4">
        <f t="shared" si="2"/>
        <v>394113.49540317658</v>
      </c>
      <c r="K18" s="4">
        <f t="shared" si="3"/>
        <v>35093.396911984273</v>
      </c>
      <c r="L18" s="4">
        <f t="shared" si="4"/>
        <v>5886.5045968234454</v>
      </c>
      <c r="M18" s="4">
        <f t="shared" si="5"/>
        <v>40979.901508807721</v>
      </c>
    </row>
    <row r="19" spans="2:13" thickTop="1" thickBot="1" x14ac:dyDescent="0.3">
      <c r="B19" s="12"/>
      <c r="C19" s="12"/>
      <c r="F19">
        <v>5</v>
      </c>
      <c r="G19" s="4">
        <f t="shared" si="1"/>
        <v>2175.8349225383708</v>
      </c>
      <c r="H19" s="1">
        <f t="shared" si="0"/>
        <v>385.40892176211173</v>
      </c>
      <c r="I19" s="4">
        <f t="shared" si="2"/>
        <v>393728.08648141444</v>
      </c>
      <c r="K19" s="4">
        <f t="shared" si="3"/>
        <v>37269.231834522645</v>
      </c>
      <c r="L19" s="4">
        <f t="shared" si="4"/>
        <v>6271.9135185855575</v>
      </c>
      <c r="M19" s="4">
        <f t="shared" si="5"/>
        <v>43541.145353108201</v>
      </c>
    </row>
    <row r="20" spans="2:13" thickTop="1" thickBot="1" x14ac:dyDescent="0.3">
      <c r="F20">
        <v>6</v>
      </c>
      <c r="G20" s="4">
        <f t="shared" si="1"/>
        <v>2173.7071441161424</v>
      </c>
      <c r="H20" s="1">
        <f t="shared" si="0"/>
        <v>387.53670018434013</v>
      </c>
      <c r="I20" s="4">
        <f t="shared" si="2"/>
        <v>393340.5497812301</v>
      </c>
      <c r="K20" s="4">
        <f t="shared" si="3"/>
        <v>39442.938978638791</v>
      </c>
      <c r="L20" s="4">
        <f t="shared" si="4"/>
        <v>6659.4502187698981</v>
      </c>
      <c r="M20" s="4">
        <f t="shared" si="5"/>
        <v>46102.389197408687</v>
      </c>
    </row>
    <row r="21" spans="2:13" thickTop="1" thickBot="1" x14ac:dyDescent="0.3">
      <c r="F21">
        <v>7</v>
      </c>
      <c r="G21" s="4">
        <f t="shared" si="1"/>
        <v>2171.5676185838747</v>
      </c>
      <c r="H21" s="1">
        <f t="shared" si="0"/>
        <v>389.67622571660786</v>
      </c>
      <c r="I21" s="4">
        <f t="shared" si="2"/>
        <v>392950.87355551351</v>
      </c>
      <c r="K21" s="4">
        <f t="shared" si="3"/>
        <v>41614.506597222666</v>
      </c>
      <c r="L21" s="4">
        <f t="shared" si="4"/>
        <v>7049.1264444865064</v>
      </c>
      <c r="M21" s="4">
        <f t="shared" si="5"/>
        <v>48663.633041709174</v>
      </c>
    </row>
    <row r="22" spans="2:13" thickTop="1" thickBot="1" x14ac:dyDescent="0.3">
      <c r="B22" s="12"/>
      <c r="C22" s="12"/>
      <c r="F22">
        <v>8</v>
      </c>
      <c r="G22" s="4">
        <f t="shared" si="1"/>
        <v>2169.416281087731</v>
      </c>
      <c r="H22" s="1">
        <f t="shared" si="0"/>
        <v>391.82756321275156</v>
      </c>
      <c r="I22" s="4">
        <f t="shared" si="2"/>
        <v>392559.04599230073</v>
      </c>
      <c r="K22" s="4">
        <f t="shared" si="3"/>
        <v>43783.922878310397</v>
      </c>
      <c r="L22" s="4">
        <f t="shared" si="4"/>
        <v>7440.954007699258</v>
      </c>
      <c r="M22" s="4">
        <f t="shared" si="5"/>
        <v>51224.876886009653</v>
      </c>
    </row>
    <row r="23" spans="2:13" thickTop="1" thickBot="1" x14ac:dyDescent="0.3">
      <c r="F23">
        <v>9</v>
      </c>
      <c r="G23" s="4">
        <f t="shared" si="1"/>
        <v>2167.2530664158271</v>
      </c>
      <c r="H23" s="1">
        <f t="shared" si="0"/>
        <v>393.99077788465547</v>
      </c>
      <c r="I23" s="4">
        <f t="shared" si="2"/>
        <v>392165.05521441606</v>
      </c>
      <c r="K23" s="4">
        <f t="shared" si="3"/>
        <v>45951.175944726223</v>
      </c>
      <c r="L23" s="4">
        <f t="shared" si="4"/>
        <v>7834.9447855839135</v>
      </c>
      <c r="M23" s="4">
        <f t="shared" si="5"/>
        <v>53786.12073031014</v>
      </c>
    </row>
    <row r="24" spans="2:13" thickTop="1" thickBot="1" x14ac:dyDescent="0.3">
      <c r="F24">
        <v>10</v>
      </c>
      <c r="G24" s="4">
        <f t="shared" si="1"/>
        <v>2165.0779089962557</v>
      </c>
      <c r="H24" s="1">
        <f t="shared" si="0"/>
        <v>396.16593530422688</v>
      </c>
      <c r="I24" s="4">
        <f t="shared" si="2"/>
        <v>391768.88927911181</v>
      </c>
      <c r="K24" s="4">
        <f t="shared" si="3"/>
        <v>48116.253853722475</v>
      </c>
      <c r="L24" s="4">
        <f t="shared" si="4"/>
        <v>8231.1107208881403</v>
      </c>
      <c r="M24" s="4">
        <f t="shared" si="5"/>
        <v>56347.364574610619</v>
      </c>
    </row>
    <row r="25" spans="2:13" thickTop="1" thickBot="1" x14ac:dyDescent="0.3">
      <c r="F25">
        <v>11</v>
      </c>
      <c r="G25" s="4">
        <f t="shared" si="1"/>
        <v>2162.8907428950965</v>
      </c>
      <c r="H25" s="1">
        <f t="shared" si="0"/>
        <v>398.35310140538604</v>
      </c>
      <c r="I25" s="4">
        <f t="shared" si="2"/>
        <v>391370.53617770644</v>
      </c>
      <c r="K25" s="4">
        <f t="shared" si="3"/>
        <v>50279.144596617574</v>
      </c>
      <c r="L25" s="4">
        <f t="shared" si="4"/>
        <v>8629.4638222935264</v>
      </c>
      <c r="M25" s="4">
        <f t="shared" si="5"/>
        <v>58908.608418911099</v>
      </c>
    </row>
    <row r="26" spans="2:13" thickTop="1" thickBot="1" x14ac:dyDescent="0.3">
      <c r="F26">
        <v>12</v>
      </c>
      <c r="G26" s="4">
        <f t="shared" si="1"/>
        <v>2160.6915018144214</v>
      </c>
      <c r="H26" s="1">
        <f t="shared" si="0"/>
        <v>400.55234248606121</v>
      </c>
      <c r="I26" s="4">
        <f t="shared" si="2"/>
        <v>390969.9838352204</v>
      </c>
      <c r="K26" s="4">
        <f t="shared" si="3"/>
        <v>52439.836098431995</v>
      </c>
      <c r="L26" s="4">
        <f t="shared" si="4"/>
        <v>9030.0161647795867</v>
      </c>
      <c r="M26" s="4">
        <f t="shared" si="5"/>
        <v>61469.852263211578</v>
      </c>
    </row>
    <row r="27" spans="2:13" thickTop="1" thickBot="1" x14ac:dyDescent="0.3">
      <c r="E27" t="s">
        <v>8</v>
      </c>
      <c r="F27">
        <v>1</v>
      </c>
      <c r="G27" s="4">
        <f t="shared" si="1"/>
        <v>2158.4801190902795</v>
      </c>
      <c r="H27" s="1">
        <f t="shared" si="0"/>
        <v>402.76372521020312</v>
      </c>
      <c r="I27" s="4">
        <f t="shared" si="2"/>
        <v>390567.22011001018</v>
      </c>
      <c r="K27" s="4">
        <f t="shared" si="3"/>
        <v>54598.316217522275</v>
      </c>
      <c r="L27" s="4">
        <f t="shared" si="4"/>
        <v>9432.7798899897898</v>
      </c>
      <c r="M27" s="4">
        <f t="shared" si="5"/>
        <v>64031.096107512065</v>
      </c>
    </row>
    <row r="28" spans="2:13" thickTop="1" thickBot="1" x14ac:dyDescent="0.3">
      <c r="F28">
        <v>2</v>
      </c>
      <c r="G28" s="4">
        <f t="shared" si="1"/>
        <v>2156.2565276906812</v>
      </c>
      <c r="H28" s="1">
        <f t="shared" si="0"/>
        <v>404.98731660980138</v>
      </c>
      <c r="I28" s="4">
        <f t="shared" si="2"/>
        <v>390162.23279340036</v>
      </c>
      <c r="K28" s="4">
        <f t="shared" si="3"/>
        <v>56754.572745212958</v>
      </c>
      <c r="L28" s="4">
        <f t="shared" si="4"/>
        <v>9837.7672065995903</v>
      </c>
      <c r="M28" s="4">
        <f t="shared" si="5"/>
        <v>66592.339951812552</v>
      </c>
    </row>
    <row r="29" spans="2:13" thickTop="1" thickBot="1" x14ac:dyDescent="0.3">
      <c r="F29">
        <v>3</v>
      </c>
      <c r="G29" s="4">
        <f t="shared" si="1"/>
        <v>2154.0206602135645</v>
      </c>
      <c r="H29" s="1">
        <f t="shared" si="0"/>
        <v>407.22318408691808</v>
      </c>
      <c r="I29" s="4">
        <f t="shared" si="2"/>
        <v>389755.00960931345</v>
      </c>
      <c r="K29" s="4">
        <f t="shared" si="3"/>
        <v>58908.593405426524</v>
      </c>
      <c r="L29" s="4">
        <f t="shared" si="4"/>
        <v>10244.990390686507</v>
      </c>
      <c r="M29" s="4">
        <f t="shared" si="5"/>
        <v>69153.583796113031</v>
      </c>
    </row>
    <row r="30" spans="2:13" thickTop="1" thickBot="1" x14ac:dyDescent="0.3">
      <c r="F30">
        <v>4</v>
      </c>
      <c r="G30" s="4">
        <f t="shared" si="1"/>
        <v>2151.7724488847512</v>
      </c>
      <c r="H30" s="1">
        <f t="shared" si="0"/>
        <v>409.47139541573142</v>
      </c>
      <c r="I30" s="4">
        <f t="shared" si="2"/>
        <v>389345.53821389773</v>
      </c>
      <c r="K30" s="4">
        <f t="shared" si="3"/>
        <v>61060.365854311276</v>
      </c>
      <c r="L30" s="4">
        <f t="shared" si="4"/>
        <v>10654.461786102238</v>
      </c>
      <c r="M30" s="4">
        <f t="shared" si="5"/>
        <v>71714.82764041351</v>
      </c>
    </row>
    <row r="31" spans="2:13" thickTop="1" thickBot="1" x14ac:dyDescent="0.3">
      <c r="B31" s="12"/>
      <c r="C31" s="12"/>
      <c r="F31">
        <v>5</v>
      </c>
      <c r="G31" s="4">
        <f t="shared" si="1"/>
        <v>2149.5118255558941</v>
      </c>
      <c r="H31" s="1">
        <f t="shared" si="0"/>
        <v>411.73201874458846</v>
      </c>
      <c r="I31" s="4">
        <f t="shared" si="2"/>
        <v>388933.80619515316</v>
      </c>
      <c r="K31" s="4">
        <f t="shared" si="3"/>
        <v>63209.877679867168</v>
      </c>
      <c r="L31" s="4">
        <f t="shared" si="4"/>
        <v>11066.193804846826</v>
      </c>
      <c r="M31" s="4">
        <f t="shared" si="5"/>
        <v>74276.07148471399</v>
      </c>
    </row>
    <row r="32" spans="2:13" thickTop="1" thickBot="1" x14ac:dyDescent="0.3">
      <c r="F32">
        <v>6</v>
      </c>
      <c r="G32" s="4">
        <f t="shared" si="1"/>
        <v>2147.2387217024084</v>
      </c>
      <c r="H32" s="1">
        <f t="shared" si="0"/>
        <v>414.00512259807419</v>
      </c>
      <c r="I32" s="4">
        <f t="shared" si="2"/>
        <v>388519.80107255507</v>
      </c>
      <c r="K32" s="4">
        <f t="shared" si="3"/>
        <v>65357.116401569576</v>
      </c>
      <c r="L32" s="4">
        <f t="shared" si="4"/>
        <v>11480.198927444901</v>
      </c>
      <c r="M32" s="4">
        <f t="shared" si="5"/>
        <v>76837.315329014469</v>
      </c>
    </row>
    <row r="33" spans="5:13" thickTop="1" thickBot="1" x14ac:dyDescent="0.3">
      <c r="F33">
        <v>7</v>
      </c>
      <c r="G33" s="4">
        <f t="shared" si="1"/>
        <v>2144.9530684213978</v>
      </c>
      <c r="H33" s="1">
        <f t="shared" si="0"/>
        <v>416.29077587908478</v>
      </c>
      <c r="I33" s="4">
        <f t="shared" si="2"/>
        <v>388103.51029667596</v>
      </c>
      <c r="K33" s="4">
        <f t="shared" si="3"/>
        <v>67502.06946999098</v>
      </c>
      <c r="L33" s="4">
        <f t="shared" si="4"/>
        <v>11896.489703323985</v>
      </c>
      <c r="M33" s="4">
        <f t="shared" si="5"/>
        <v>79398.559173314963</v>
      </c>
    </row>
    <row r="34" spans="5:13" thickTop="1" thickBot="1" x14ac:dyDescent="0.3">
      <c r="F34">
        <v>8</v>
      </c>
      <c r="G34" s="4">
        <f t="shared" si="1"/>
        <v>2142.6547964295655</v>
      </c>
      <c r="H34" s="1">
        <f t="shared" si="0"/>
        <v>418.58904787091706</v>
      </c>
      <c r="I34" s="4">
        <f t="shared" si="2"/>
        <v>387684.92124880507</v>
      </c>
      <c r="K34" s="4">
        <f t="shared" si="3"/>
        <v>69644.724266420541</v>
      </c>
      <c r="L34" s="4">
        <f t="shared" si="4"/>
        <v>12315.078751194902</v>
      </c>
      <c r="M34" s="4">
        <f t="shared" si="5"/>
        <v>81959.803017615443</v>
      </c>
    </row>
    <row r="35" spans="5:13" thickTop="1" thickBot="1" x14ac:dyDescent="0.3">
      <c r="F35">
        <v>9</v>
      </c>
      <c r="G35" s="4">
        <f t="shared" si="1"/>
        <v>2140.3438360611112</v>
      </c>
      <c r="H35" s="1">
        <f t="shared" si="0"/>
        <v>420.90000823937135</v>
      </c>
      <c r="I35" s="4">
        <f t="shared" si="2"/>
        <v>387264.02124056569</v>
      </c>
      <c r="K35" s="4">
        <f t="shared" si="3"/>
        <v>71785.068102481659</v>
      </c>
      <c r="L35" s="4">
        <f t="shared" si="4"/>
        <v>12735.978759434274</v>
      </c>
      <c r="M35" s="4">
        <f t="shared" si="5"/>
        <v>84521.046861915936</v>
      </c>
    </row>
    <row r="36" spans="5:13" thickTop="1" thickBot="1" x14ac:dyDescent="0.3">
      <c r="F36">
        <v>10</v>
      </c>
      <c r="G36" s="4">
        <f t="shared" si="1"/>
        <v>2138.020117265623</v>
      </c>
      <c r="H36" s="1">
        <f t="shared" si="0"/>
        <v>423.22372703485962</v>
      </c>
      <c r="I36" s="4">
        <f t="shared" si="2"/>
        <v>386840.79751353082</v>
      </c>
      <c r="K36" s="4">
        <f t="shared" si="3"/>
        <v>73923.088219747282</v>
      </c>
      <c r="L36" s="4">
        <f t="shared" si="4"/>
        <v>13159.202486469134</v>
      </c>
      <c r="M36" s="4">
        <f t="shared" si="5"/>
        <v>87082.290706216416</v>
      </c>
    </row>
    <row r="37" spans="5:13" thickTop="1" thickBot="1" x14ac:dyDescent="0.3">
      <c r="F37">
        <v>11</v>
      </c>
      <c r="G37" s="4">
        <f t="shared" si="1"/>
        <v>2135.6835696059516</v>
      </c>
      <c r="H37" s="1">
        <f t="shared" si="0"/>
        <v>425.56027469453102</v>
      </c>
      <c r="I37" s="4">
        <f t="shared" si="2"/>
        <v>386415.2372388363</v>
      </c>
      <c r="K37" s="4">
        <f t="shared" si="3"/>
        <v>76058.771789353239</v>
      </c>
      <c r="L37" s="4">
        <f t="shared" si="4"/>
        <v>13584.762761163665</v>
      </c>
      <c r="M37" s="4">
        <f t="shared" si="5"/>
        <v>89643.53455051691</v>
      </c>
    </row>
    <row r="38" spans="5:13" thickTop="1" thickBot="1" x14ac:dyDescent="0.3">
      <c r="F38">
        <v>12</v>
      </c>
      <c r="G38" s="4">
        <f t="shared" si="1"/>
        <v>2133.3341222560753</v>
      </c>
      <c r="H38" s="1">
        <f t="shared" si="0"/>
        <v>427.90972204440732</v>
      </c>
      <c r="I38" s="4">
        <f t="shared" si="2"/>
        <v>385987.32751679188</v>
      </c>
      <c r="K38" s="4">
        <f t="shared" si="3"/>
        <v>78192.105911609309</v>
      </c>
      <c r="L38" s="4">
        <f t="shared" si="4"/>
        <v>14012.672483208073</v>
      </c>
      <c r="M38" s="4">
        <f t="shared" si="5"/>
        <v>92204.778394817375</v>
      </c>
    </row>
    <row r="39" spans="5:13" thickTop="1" thickBot="1" x14ac:dyDescent="0.3">
      <c r="E39" t="s">
        <v>9</v>
      </c>
      <c r="F39">
        <v>1</v>
      </c>
      <c r="G39" s="4">
        <f t="shared" si="1"/>
        <v>2130.971703998955</v>
      </c>
      <c r="H39" s="1">
        <f t="shared" si="0"/>
        <v>430.27214030152754</v>
      </c>
      <c r="I39" s="4">
        <f t="shared" si="2"/>
        <v>385557.05537649035</v>
      </c>
      <c r="K39" s="4">
        <f t="shared" si="3"/>
        <v>80323.077615608257</v>
      </c>
      <c r="L39" s="4">
        <f t="shared" si="4"/>
        <v>14442.9446235096</v>
      </c>
      <c r="M39" s="4">
        <f t="shared" si="5"/>
        <v>94766.022239117854</v>
      </c>
    </row>
    <row r="40" spans="5:13" thickTop="1" thickBot="1" x14ac:dyDescent="0.3">
      <c r="F40">
        <v>2</v>
      </c>
      <c r="G40" s="4">
        <f t="shared" si="1"/>
        <v>2128.5962432243737</v>
      </c>
      <c r="H40" s="1">
        <f t="shared" si="0"/>
        <v>432.64760107610891</v>
      </c>
      <c r="I40" s="4">
        <f t="shared" si="2"/>
        <v>385124.40777541423</v>
      </c>
      <c r="K40" s="4">
        <f t="shared" si="3"/>
        <v>82451.673858832626</v>
      </c>
      <c r="L40" s="4">
        <f t="shared" si="4"/>
        <v>14875.592224585709</v>
      </c>
      <c r="M40" s="4">
        <f t="shared" si="5"/>
        <v>97327.266083418333</v>
      </c>
    </row>
    <row r="41" spans="5:13" thickTop="1" thickBot="1" x14ac:dyDescent="0.3">
      <c r="F41">
        <v>3</v>
      </c>
      <c r="G41" s="4">
        <f t="shared" si="1"/>
        <v>2126.2076679267661</v>
      </c>
      <c r="H41" s="1">
        <f t="shared" si="0"/>
        <v>435.03617637371644</v>
      </c>
      <c r="I41" s="4">
        <f t="shared" si="2"/>
        <v>384689.37159904052</v>
      </c>
      <c r="K41" s="4">
        <f t="shared" si="3"/>
        <v>84577.881526759389</v>
      </c>
      <c r="L41" s="4">
        <f t="shared" si="4"/>
        <v>15310.628400959426</v>
      </c>
      <c r="M41" s="4">
        <f t="shared" si="5"/>
        <v>99888.509927718813</v>
      </c>
    </row>
    <row r="42" spans="5:13" thickTop="1" thickBot="1" x14ac:dyDescent="0.3">
      <c r="F42">
        <v>4</v>
      </c>
      <c r="G42" s="4">
        <f t="shared" si="1"/>
        <v>2123.8059057030364</v>
      </c>
      <c r="H42" s="1">
        <f t="shared" si="0"/>
        <v>437.43793859744619</v>
      </c>
      <c r="I42" s="4">
        <f t="shared" si="2"/>
        <v>384251.93366044306</v>
      </c>
      <c r="K42" s="4">
        <f t="shared" si="3"/>
        <v>86701.687432462422</v>
      </c>
      <c r="L42" s="4">
        <f t="shared" si="4"/>
        <v>15748.066339556872</v>
      </c>
      <c r="M42" s="4">
        <f t="shared" si="5"/>
        <v>102449.75377201929</v>
      </c>
    </row>
    <row r="43" spans="5:13" thickTop="1" thickBot="1" x14ac:dyDescent="0.3">
      <c r="F43">
        <v>5</v>
      </c>
      <c r="G43" s="4">
        <f t="shared" si="1"/>
        <v>2121.3908837503627</v>
      </c>
      <c r="H43" s="1">
        <f t="shared" si="0"/>
        <v>439.85296055011986</v>
      </c>
      <c r="I43" s="4">
        <f t="shared" si="2"/>
        <v>383812.08069989295</v>
      </c>
      <c r="K43" s="4">
        <f t="shared" si="3"/>
        <v>88823.078316212792</v>
      </c>
      <c r="L43" s="4">
        <f t="shared" si="4"/>
        <v>16187.919300106991</v>
      </c>
      <c r="M43" s="4">
        <f t="shared" si="5"/>
        <v>105010.99761631979</v>
      </c>
    </row>
    <row r="44" spans="5:13" thickTop="1" thickBot="1" x14ac:dyDescent="0.3">
      <c r="F44">
        <v>6</v>
      </c>
      <c r="G44" s="4">
        <f t="shared" si="1"/>
        <v>2118.9625288639922</v>
      </c>
      <c r="H44" s="1">
        <f t="shared" si="0"/>
        <v>442.28131543649033</v>
      </c>
      <c r="I44" s="4">
        <f t="shared" si="2"/>
        <v>383369.79938445648</v>
      </c>
      <c r="K44" s="4">
        <f t="shared" si="3"/>
        <v>90942.040845076786</v>
      </c>
      <c r="L44" s="4">
        <f t="shared" si="4"/>
        <v>16630.200615543479</v>
      </c>
      <c r="M44" s="4">
        <f t="shared" si="5"/>
        <v>107572.24146062027</v>
      </c>
    </row>
    <row r="45" spans="5:13" thickTop="1" thickBot="1" x14ac:dyDescent="0.3">
      <c r="F45">
        <v>7</v>
      </c>
      <c r="G45" s="4">
        <f t="shared" si="1"/>
        <v>2116.5207674350204</v>
      </c>
      <c r="H45" s="1">
        <f t="shared" si="0"/>
        <v>444.72307686546219</v>
      </c>
      <c r="I45" s="4">
        <f t="shared" si="2"/>
        <v>382925.07630759099</v>
      </c>
      <c r="K45" s="4">
        <f t="shared" si="3"/>
        <v>93058.56161251181</v>
      </c>
      <c r="L45" s="4">
        <f t="shared" si="4"/>
        <v>17074.923692408942</v>
      </c>
      <c r="M45" s="4">
        <f t="shared" si="5"/>
        <v>110133.48530492076</v>
      </c>
    </row>
    <row r="46" spans="5:13" thickTop="1" thickBot="1" x14ac:dyDescent="0.3">
      <c r="F46">
        <v>8</v>
      </c>
      <c r="G46" s="4">
        <f t="shared" si="1"/>
        <v>2114.0655254481585</v>
      </c>
      <c r="H46" s="1">
        <f t="shared" si="0"/>
        <v>447.17831885232408</v>
      </c>
      <c r="I46" s="4">
        <f t="shared" si="2"/>
        <v>382477.89798873867</v>
      </c>
      <c r="K46" s="4">
        <f t="shared" si="3"/>
        <v>95172.627137959964</v>
      </c>
      <c r="L46" s="4">
        <f t="shared" si="4"/>
        <v>17522.102011261268</v>
      </c>
      <c r="M46" s="4">
        <f t="shared" si="5"/>
        <v>112694.72914922124</v>
      </c>
    </row>
    <row r="47" spans="5:13" thickTop="1" thickBot="1" x14ac:dyDescent="0.3">
      <c r="F47">
        <v>9</v>
      </c>
      <c r="G47" s="4">
        <f t="shared" si="1"/>
        <v>2111.5967284794947</v>
      </c>
      <c r="H47" s="1">
        <f t="shared" si="0"/>
        <v>449.64711582098789</v>
      </c>
      <c r="I47" s="4">
        <f t="shared" si="2"/>
        <v>382028.25087291771</v>
      </c>
      <c r="K47" s="4">
        <f t="shared" si="3"/>
        <v>97284.223866439454</v>
      </c>
      <c r="L47" s="4">
        <f t="shared" si="4"/>
        <v>17971.749127082257</v>
      </c>
      <c r="M47" s="4">
        <f t="shared" si="5"/>
        <v>115255.97299352172</v>
      </c>
    </row>
    <row r="48" spans="5:13" thickTop="1" thickBot="1" x14ac:dyDescent="0.3">
      <c r="F48">
        <v>10</v>
      </c>
      <c r="G48" s="4">
        <f t="shared" si="1"/>
        <v>2109.1143016942333</v>
      </c>
      <c r="H48" s="1">
        <f t="shared" si="0"/>
        <v>452.12954260624929</v>
      </c>
      <c r="I48" s="4">
        <f t="shared" si="2"/>
        <v>381576.12133031146</v>
      </c>
      <c r="K48" s="4">
        <f t="shared" si="3"/>
        <v>99393.33816813369</v>
      </c>
      <c r="L48" s="4">
        <f t="shared" si="4"/>
        <v>18423.878669688507</v>
      </c>
      <c r="M48" s="4">
        <f t="shared" si="5"/>
        <v>117817.2168378222</v>
      </c>
    </row>
    <row r="49" spans="5:13" thickTop="1" thickBot="1" x14ac:dyDescent="0.3">
      <c r="F49">
        <v>11</v>
      </c>
      <c r="G49" s="4">
        <f t="shared" si="1"/>
        <v>2106.6181698444279</v>
      </c>
      <c r="H49" s="1">
        <f t="shared" si="0"/>
        <v>454.62567445605464</v>
      </c>
      <c r="I49" s="4">
        <f t="shared" si="2"/>
        <v>381121.4956558554</v>
      </c>
      <c r="K49" s="4">
        <f t="shared" si="3"/>
        <v>101499.95633797812</v>
      </c>
      <c r="L49" s="4">
        <f t="shared" si="4"/>
        <v>18878.504344144563</v>
      </c>
      <c r="M49" s="4">
        <f t="shared" si="5"/>
        <v>120378.46068212268</v>
      </c>
    </row>
    <row r="50" spans="5:13" thickTop="1" thickBot="1" x14ac:dyDescent="0.3">
      <c r="F50">
        <v>12</v>
      </c>
      <c r="G50" s="4">
        <f t="shared" si="1"/>
        <v>2104.1082572667019</v>
      </c>
      <c r="H50" s="1">
        <f t="shared" si="0"/>
        <v>457.13558703378067</v>
      </c>
      <c r="I50" s="4">
        <f t="shared" si="2"/>
        <v>380664.36006882164</v>
      </c>
      <c r="K50" s="4">
        <f t="shared" si="3"/>
        <v>103604.06459524482</v>
      </c>
      <c r="L50" s="4">
        <f t="shared" si="4"/>
        <v>19335.639931178343</v>
      </c>
      <c r="M50" s="4">
        <f t="shared" si="5"/>
        <v>122939.70452642317</v>
      </c>
    </row>
    <row r="51" spans="5:13" thickTop="1" thickBot="1" x14ac:dyDescent="0.3">
      <c r="E51" t="s">
        <v>10</v>
      </c>
      <c r="F51">
        <v>1</v>
      </c>
      <c r="G51" s="4">
        <f t="shared" si="1"/>
        <v>2101.584487879953</v>
      </c>
      <c r="H51" s="1">
        <f t="shared" si="0"/>
        <v>459.65935642052955</v>
      </c>
      <c r="I51" s="4">
        <f t="shared" si="2"/>
        <v>380204.70071240113</v>
      </c>
      <c r="K51" s="4">
        <f t="shared" si="3"/>
        <v>105705.64908312478</v>
      </c>
      <c r="L51" s="4">
        <f t="shared" si="4"/>
        <v>19795.299287598871</v>
      </c>
      <c r="M51" s="4">
        <f t="shared" si="5"/>
        <v>125500.94837072365</v>
      </c>
    </row>
    <row r="52" spans="5:13" thickTop="1" thickBot="1" x14ac:dyDescent="0.3">
      <c r="F52">
        <v>2</v>
      </c>
      <c r="G52" s="4">
        <f t="shared" si="1"/>
        <v>2099.0467851830481</v>
      </c>
      <c r="H52" s="1">
        <f t="shared" si="0"/>
        <v>462.19705911743449</v>
      </c>
      <c r="I52" s="4">
        <f t="shared" si="2"/>
        <v>379742.5036532837</v>
      </c>
      <c r="K52" s="4">
        <f t="shared" si="3"/>
        <v>107804.69586830783</v>
      </c>
      <c r="L52" s="4">
        <f t="shared" si="4"/>
        <v>20257.496346716307</v>
      </c>
      <c r="M52" s="4">
        <f t="shared" si="5"/>
        <v>128062.19221502413</v>
      </c>
    </row>
    <row r="53" spans="5:13" thickTop="1" thickBot="1" x14ac:dyDescent="0.3">
      <c r="F53">
        <v>3</v>
      </c>
      <c r="G53" s="4">
        <f t="shared" si="1"/>
        <v>2096.4950722525041</v>
      </c>
      <c r="H53" s="1">
        <f t="shared" si="0"/>
        <v>464.74877204797849</v>
      </c>
      <c r="I53" s="4">
        <f t="shared" si="2"/>
        <v>379277.75488123571</v>
      </c>
      <c r="K53" s="4">
        <f t="shared" si="3"/>
        <v>109901.19094056034</v>
      </c>
      <c r="L53" s="4">
        <f t="shared" si="4"/>
        <v>20722.245118764287</v>
      </c>
      <c r="M53" s="4">
        <f t="shared" si="5"/>
        <v>130623.43605932462</v>
      </c>
    </row>
    <row r="54" spans="5:13" thickTop="1" thickBot="1" x14ac:dyDescent="0.3">
      <c r="F54">
        <v>4</v>
      </c>
      <c r="G54" s="4">
        <f t="shared" si="1"/>
        <v>2093.9292717401554</v>
      </c>
      <c r="H54" s="1">
        <f t="shared" si="0"/>
        <v>467.31457256032718</v>
      </c>
      <c r="I54" s="4">
        <f t="shared" si="2"/>
        <v>378810.4403086754</v>
      </c>
      <c r="K54" s="4">
        <f t="shared" si="3"/>
        <v>111995.12021230049</v>
      </c>
      <c r="L54" s="4">
        <f t="shared" si="4"/>
        <v>21189.559691324615</v>
      </c>
      <c r="M54" s="4">
        <f t="shared" si="5"/>
        <v>133184.6799036251</v>
      </c>
    </row>
    <row r="55" spans="5:13" thickTop="1" thickBot="1" x14ac:dyDescent="0.3">
      <c r="F55">
        <v>5</v>
      </c>
      <c r="G55" s="4">
        <f t="shared" si="1"/>
        <v>2091.3493058708123</v>
      </c>
      <c r="H55" s="1">
        <f t="shared" si="0"/>
        <v>469.89453842967032</v>
      </c>
      <c r="I55" s="4">
        <f t="shared" si="2"/>
        <v>378340.54577024572</v>
      </c>
      <c r="K55" s="4">
        <f t="shared" si="3"/>
        <v>114086.4695181713</v>
      </c>
      <c r="L55" s="4">
        <f t="shared" si="4"/>
        <v>21659.454229754287</v>
      </c>
      <c r="M55" s="4">
        <f t="shared" si="5"/>
        <v>135745.92374792558</v>
      </c>
    </row>
    <row r="56" spans="5:13" thickTop="1" thickBot="1" x14ac:dyDescent="0.3">
      <c r="F56">
        <v>6</v>
      </c>
      <c r="G56" s="4">
        <f t="shared" si="1"/>
        <v>2088.7550964398984</v>
      </c>
      <c r="H56" s="1">
        <f t="shared" si="0"/>
        <v>472.48874786058423</v>
      </c>
      <c r="I56" s="4">
        <f t="shared" si="2"/>
        <v>377868.05702238512</v>
      </c>
      <c r="K56" s="4">
        <f t="shared" si="3"/>
        <v>116175.2246146112</v>
      </c>
      <c r="L56" s="4">
        <f t="shared" si="4"/>
        <v>22131.942977614872</v>
      </c>
      <c r="M56" s="4">
        <f t="shared" si="5"/>
        <v>138307.16759222606</v>
      </c>
    </row>
    <row r="57" spans="5:13" thickTop="1" thickBot="1" x14ac:dyDescent="0.3">
      <c r="F57">
        <v>7</v>
      </c>
      <c r="G57" s="4">
        <f t="shared" si="1"/>
        <v>2086.1465648110848</v>
      </c>
      <c r="H57" s="1">
        <f t="shared" si="0"/>
        <v>475.09727948939781</v>
      </c>
      <c r="I57" s="4">
        <f t="shared" si="2"/>
        <v>377392.95974289573</v>
      </c>
      <c r="K57" s="4">
        <f t="shared" si="3"/>
        <v>118261.37117942229</v>
      </c>
      <c r="L57" s="4">
        <f t="shared" si="4"/>
        <v>22607.040257104269</v>
      </c>
      <c r="M57" s="4">
        <f t="shared" si="5"/>
        <v>140868.41143652657</v>
      </c>
    </row>
    <row r="58" spans="5:13" thickTop="1" thickBot="1" x14ac:dyDescent="0.3">
      <c r="F58">
        <v>8</v>
      </c>
      <c r="G58" s="4">
        <f t="shared" si="1"/>
        <v>2083.5236319139035</v>
      </c>
      <c r="H58" s="1">
        <f t="shared" si="0"/>
        <v>477.72021238657908</v>
      </c>
      <c r="I58" s="4">
        <f t="shared" si="2"/>
        <v>376915.23953050916</v>
      </c>
      <c r="K58" s="4">
        <f t="shared" si="3"/>
        <v>120344.8948113362</v>
      </c>
      <c r="L58" s="4">
        <f t="shared" si="4"/>
        <v>23084.760469490848</v>
      </c>
      <c r="M58" s="4">
        <f t="shared" si="5"/>
        <v>143429.65528082705</v>
      </c>
    </row>
    <row r="59" spans="5:13" thickTop="1" thickBot="1" x14ac:dyDescent="0.3">
      <c r="F59">
        <v>9</v>
      </c>
      <c r="G59" s="4">
        <f t="shared" si="1"/>
        <v>2080.8862182413527</v>
      </c>
      <c r="H59" s="1">
        <f t="shared" si="0"/>
        <v>480.35762605912987</v>
      </c>
      <c r="I59" s="4">
        <f t="shared" si="2"/>
        <v>376434.88190445001</v>
      </c>
      <c r="K59" s="4">
        <f t="shared" si="3"/>
        <v>122425.78102957756</v>
      </c>
      <c r="L59" s="4">
        <f t="shared" si="4"/>
        <v>23565.118095549977</v>
      </c>
      <c r="M59" s="4">
        <f t="shared" si="5"/>
        <v>145990.89912512753</v>
      </c>
    </row>
    <row r="60" spans="5:13" thickTop="1" thickBot="1" x14ac:dyDescent="0.3">
      <c r="F60">
        <v>10</v>
      </c>
      <c r="G60" s="4">
        <f t="shared" si="1"/>
        <v>2078.2342438474848</v>
      </c>
      <c r="H60" s="1">
        <f t="shared" si="0"/>
        <v>483.0096004529978</v>
      </c>
      <c r="I60" s="4">
        <f t="shared" si="2"/>
        <v>375951.87230399699</v>
      </c>
      <c r="K60" s="4">
        <f t="shared" si="3"/>
        <v>124504.01527342504</v>
      </c>
      <c r="L60" s="4">
        <f t="shared" si="4"/>
        <v>24048.127696002975</v>
      </c>
      <c r="M60" s="4">
        <f t="shared" si="5"/>
        <v>148552.14296942801</v>
      </c>
    </row>
    <row r="61" spans="5:13" thickTop="1" thickBot="1" x14ac:dyDescent="0.3">
      <c r="F61">
        <v>11</v>
      </c>
      <c r="G61" s="4">
        <f t="shared" si="1"/>
        <v>2075.5676283449834</v>
      </c>
      <c r="H61" s="1">
        <f t="shared" si="0"/>
        <v>485.67621595549917</v>
      </c>
      <c r="I61" s="4">
        <f t="shared" si="2"/>
        <v>375466.19608804147</v>
      </c>
      <c r="K61" s="4">
        <f t="shared" si="3"/>
        <v>126579.58290177003</v>
      </c>
      <c r="L61" s="4">
        <f t="shared" si="4"/>
        <v>24533.803911958476</v>
      </c>
      <c r="M61" s="4">
        <f t="shared" si="5"/>
        <v>151113.38681372852</v>
      </c>
    </row>
    <row r="62" spans="5:13" thickTop="1" thickBot="1" x14ac:dyDescent="0.3">
      <c r="F62">
        <v>12</v>
      </c>
      <c r="G62" s="4">
        <f t="shared" si="1"/>
        <v>2072.8862909027289</v>
      </c>
      <c r="H62" s="1">
        <f t="shared" si="0"/>
        <v>488.35755339775369</v>
      </c>
      <c r="I62" s="4">
        <f t="shared" si="2"/>
        <v>374977.8385346437</v>
      </c>
      <c r="K62" s="4">
        <f t="shared" si="3"/>
        <v>128652.46919267275</v>
      </c>
      <c r="L62" s="4">
        <f t="shared" si="4"/>
        <v>25022.161465356228</v>
      </c>
      <c r="M62" s="4">
        <f t="shared" si="5"/>
        <v>153674.630658029</v>
      </c>
    </row>
    <row r="63" spans="5:13" thickTop="1" thickBot="1" x14ac:dyDescent="0.3">
      <c r="E63" t="s">
        <v>11</v>
      </c>
      <c r="F63">
        <v>1</v>
      </c>
      <c r="G63" s="4">
        <f t="shared" ref="G63:G126" si="6">I62*$B$3/12</f>
        <v>2070.1901502433457</v>
      </c>
      <c r="H63" s="1">
        <f t="shared" si="0"/>
        <v>491.05369405713691</v>
      </c>
      <c r="I63" s="4">
        <f t="shared" si="2"/>
        <v>374486.78484058654</v>
      </c>
      <c r="K63" s="4">
        <f t="shared" si="3"/>
        <v>130722.6593429161</v>
      </c>
      <c r="L63" s="4">
        <f t="shared" si="4"/>
        <v>25513.215159413365</v>
      </c>
      <c r="M63" s="4">
        <f t="shared" si="5"/>
        <v>156235.87450232948</v>
      </c>
    </row>
    <row r="64" spans="5:13" thickTop="1" thickBot="1" x14ac:dyDescent="0.3">
      <c r="F64">
        <v>2</v>
      </c>
      <c r="G64" s="4">
        <f t="shared" si="6"/>
        <v>2067.4791246407381</v>
      </c>
      <c r="H64" s="1">
        <f t="shared" si="0"/>
        <v>493.76471965974451</v>
      </c>
      <c r="I64" s="4">
        <f t="shared" si="2"/>
        <v>373993.02012092678</v>
      </c>
      <c r="K64" s="4">
        <f t="shared" si="3"/>
        <v>132790.13846755683</v>
      </c>
      <c r="L64" s="4">
        <f t="shared" si="4"/>
        <v>26006.979879073107</v>
      </c>
      <c r="M64" s="4">
        <f t="shared" si="5"/>
        <v>158797.11834662993</v>
      </c>
    </row>
    <row r="65" spans="5:13" thickTop="1" thickBot="1" x14ac:dyDescent="0.3">
      <c r="F65">
        <v>3</v>
      </c>
      <c r="G65" s="4">
        <f t="shared" si="6"/>
        <v>2064.7531319176164</v>
      </c>
      <c r="H65" s="1">
        <f t="shared" si="0"/>
        <v>496.49071238286615</v>
      </c>
      <c r="I65" s="4">
        <f t="shared" si="2"/>
        <v>373496.52940854389</v>
      </c>
      <c r="K65" s="4">
        <f t="shared" si="3"/>
        <v>134854.89159947445</v>
      </c>
      <c r="L65" s="4">
        <f t="shared" si="4"/>
        <v>26503.470591455974</v>
      </c>
      <c r="M65" s="4">
        <f t="shared" si="5"/>
        <v>161358.36219093041</v>
      </c>
    </row>
    <row r="66" spans="5:13" thickTop="1" thickBot="1" x14ac:dyDescent="0.3">
      <c r="F66">
        <v>4</v>
      </c>
      <c r="G66" s="4">
        <f t="shared" si="6"/>
        <v>2062.0120894430029</v>
      </c>
      <c r="H66" s="1">
        <f t="shared" si="0"/>
        <v>499.2317548574797</v>
      </c>
      <c r="I66" s="4">
        <f t="shared" si="2"/>
        <v>372997.29765368643</v>
      </c>
      <c r="K66" s="4">
        <f t="shared" si="3"/>
        <v>136916.90368891746</v>
      </c>
      <c r="L66" s="4">
        <f t="shared" si="4"/>
        <v>27002.702346313454</v>
      </c>
      <c r="M66" s="4">
        <f t="shared" si="5"/>
        <v>163919.60603523091</v>
      </c>
    </row>
    <row r="67" spans="5:13" thickTop="1" thickBot="1" x14ac:dyDescent="0.3">
      <c r="F67">
        <v>5</v>
      </c>
      <c r="G67" s="4">
        <f t="shared" si="6"/>
        <v>2059.2559141297274</v>
      </c>
      <c r="H67" s="1">
        <f t="shared" si="0"/>
        <v>501.98793017075513</v>
      </c>
      <c r="I67" s="4">
        <f t="shared" si="2"/>
        <v>372495.30972351565</v>
      </c>
      <c r="K67" s="4">
        <f t="shared" si="3"/>
        <v>138976.15960304718</v>
      </c>
      <c r="L67" s="4">
        <f t="shared" si="4"/>
        <v>27504.690276484209</v>
      </c>
      <c r="M67" s="4">
        <f t="shared" si="5"/>
        <v>166480.84987953139</v>
      </c>
    </row>
    <row r="68" spans="5:13" thickTop="1" thickBot="1" x14ac:dyDescent="0.3">
      <c r="F68">
        <v>6</v>
      </c>
      <c r="G68" s="4">
        <f t="shared" si="6"/>
        <v>2056.4845224319092</v>
      </c>
      <c r="H68" s="1">
        <f t="shared" ref="H68:H131" si="7">IF($B$5+$B$6&gt;=I67+G68, I67, ($B$5+$B$6)-G68)</f>
        <v>504.75932186857335</v>
      </c>
      <c r="I68" s="4">
        <f t="shared" si="2"/>
        <v>371990.55040164705</v>
      </c>
      <c r="K68" s="4">
        <f t="shared" si="3"/>
        <v>141032.6441254791</v>
      </c>
      <c r="L68" s="4">
        <f t="shared" si="4"/>
        <v>28009.449598352781</v>
      </c>
      <c r="M68" s="4">
        <f t="shared" si="5"/>
        <v>169042.09372383187</v>
      </c>
    </row>
    <row r="69" spans="5:13" thickTop="1" thickBot="1" x14ac:dyDescent="0.3">
      <c r="F69">
        <v>7</v>
      </c>
      <c r="G69" s="4">
        <f t="shared" si="6"/>
        <v>2053.6978303424266</v>
      </c>
      <c r="H69" s="1">
        <f t="shared" si="7"/>
        <v>507.54601395805594</v>
      </c>
      <c r="I69" s="4">
        <f t="shared" ref="I69:I132" si="8">MAX(I68-H69, 0)</f>
        <v>371483.004387689</v>
      </c>
      <c r="K69" s="4">
        <f t="shared" ref="K69:K132" si="9">G69+K68</f>
        <v>143086.34195582152</v>
      </c>
      <c r="L69" s="4">
        <f t="shared" ref="L69:L132" si="10">H69+L68</f>
        <v>28516.995612310839</v>
      </c>
      <c r="M69" s="4">
        <f t="shared" ref="M69:M132" si="11">L69+K69</f>
        <v>171603.33756813235</v>
      </c>
    </row>
    <row r="70" spans="5:13" thickTop="1" thickBot="1" x14ac:dyDescent="0.3">
      <c r="F70">
        <v>8</v>
      </c>
      <c r="G70" s="4">
        <f t="shared" si="6"/>
        <v>2050.8957533903663</v>
      </c>
      <c r="H70" s="1">
        <f t="shared" si="7"/>
        <v>510.3480909101163</v>
      </c>
      <c r="I70" s="4">
        <f t="shared" si="8"/>
        <v>370972.65629677888</v>
      </c>
      <c r="K70" s="4">
        <f t="shared" si="9"/>
        <v>145137.23770921188</v>
      </c>
      <c r="L70" s="4">
        <f t="shared" si="10"/>
        <v>29027.343703220955</v>
      </c>
      <c r="M70" s="4">
        <f t="shared" si="11"/>
        <v>174164.58141243283</v>
      </c>
    </row>
    <row r="71" spans="5:13" thickTop="1" thickBot="1" x14ac:dyDescent="0.3">
      <c r="F71">
        <v>9</v>
      </c>
      <c r="G71" s="4">
        <f t="shared" si="6"/>
        <v>2048.0782066384668</v>
      </c>
      <c r="H71" s="1">
        <f t="shared" si="7"/>
        <v>513.1656376620158</v>
      </c>
      <c r="I71" s="4">
        <f t="shared" si="8"/>
        <v>370459.49065911688</v>
      </c>
      <c r="K71" s="4">
        <f t="shared" si="9"/>
        <v>147185.31591585034</v>
      </c>
      <c r="L71" s="4">
        <f t="shared" si="10"/>
        <v>29540.509340882971</v>
      </c>
      <c r="M71" s="4">
        <f t="shared" si="11"/>
        <v>176725.82525673331</v>
      </c>
    </row>
    <row r="72" spans="5:13" thickTop="1" thickBot="1" x14ac:dyDescent="0.3">
      <c r="F72">
        <v>10</v>
      </c>
      <c r="G72" s="4">
        <f t="shared" si="6"/>
        <v>2045.2451046805411</v>
      </c>
      <c r="H72" s="1">
        <f t="shared" si="7"/>
        <v>515.99873961994149</v>
      </c>
      <c r="I72" s="4">
        <f t="shared" si="8"/>
        <v>369943.49191949697</v>
      </c>
      <c r="K72" s="4">
        <f t="shared" si="9"/>
        <v>149230.56102053088</v>
      </c>
      <c r="L72" s="4">
        <f t="shared" si="10"/>
        <v>30056.508080502914</v>
      </c>
      <c r="M72" s="4">
        <f t="shared" si="11"/>
        <v>179287.06910103379</v>
      </c>
    </row>
    <row r="73" spans="5:13" thickTop="1" thickBot="1" x14ac:dyDescent="0.3">
      <c r="F73">
        <v>11</v>
      </c>
      <c r="G73" s="4">
        <f t="shared" si="6"/>
        <v>2042.3963616388894</v>
      </c>
      <c r="H73" s="1">
        <f t="shared" si="7"/>
        <v>518.84748266159318</v>
      </c>
      <c r="I73" s="4">
        <f t="shared" si="8"/>
        <v>369424.64443683537</v>
      </c>
      <c r="K73" s="4">
        <f t="shared" si="9"/>
        <v>151272.95738216976</v>
      </c>
      <c r="L73" s="4">
        <f t="shared" si="10"/>
        <v>30575.355563164507</v>
      </c>
      <c r="M73" s="4">
        <f t="shared" si="11"/>
        <v>181848.31294533427</v>
      </c>
    </row>
    <row r="74" spans="5:13" thickTop="1" thickBot="1" x14ac:dyDescent="0.3">
      <c r="F74">
        <v>12</v>
      </c>
      <c r="G74" s="4">
        <f t="shared" si="6"/>
        <v>2039.5318911616953</v>
      </c>
      <c r="H74" s="1">
        <f t="shared" si="7"/>
        <v>521.71195313878729</v>
      </c>
      <c r="I74" s="4">
        <f t="shared" si="8"/>
        <v>368902.93248369655</v>
      </c>
      <c r="K74" s="4">
        <f t="shared" si="9"/>
        <v>153312.48927333145</v>
      </c>
      <c r="L74" s="4">
        <f t="shared" si="10"/>
        <v>31097.067516303294</v>
      </c>
      <c r="M74" s="4">
        <f t="shared" si="11"/>
        <v>184409.55678963475</v>
      </c>
    </row>
    <row r="75" spans="5:13" thickTop="1" thickBot="1" x14ac:dyDescent="0.3">
      <c r="E75" t="s">
        <v>12</v>
      </c>
      <c r="F75">
        <v>1</v>
      </c>
      <c r="G75" s="4">
        <f t="shared" si="6"/>
        <v>2036.6516064204081</v>
      </c>
      <c r="H75" s="1">
        <f t="shared" si="7"/>
        <v>524.59223788007444</v>
      </c>
      <c r="I75" s="4">
        <f t="shared" si="8"/>
        <v>368378.34024581651</v>
      </c>
      <c r="K75" s="4">
        <f t="shared" si="9"/>
        <v>155349.14087975185</v>
      </c>
      <c r="L75" s="4">
        <f t="shared" si="10"/>
        <v>31621.659754183369</v>
      </c>
      <c r="M75" s="4">
        <f t="shared" si="11"/>
        <v>186970.80063393523</v>
      </c>
    </row>
    <row r="76" spans="5:13" thickTop="1" thickBot="1" x14ac:dyDescent="0.3">
      <c r="F76">
        <v>2</v>
      </c>
      <c r="G76" s="4">
        <f t="shared" si="6"/>
        <v>2033.7554201071123</v>
      </c>
      <c r="H76" s="1">
        <f t="shared" si="7"/>
        <v>527.48842419337029</v>
      </c>
      <c r="I76" s="4">
        <f t="shared" si="8"/>
        <v>367850.85182162316</v>
      </c>
      <c r="K76" s="4">
        <f t="shared" si="9"/>
        <v>157382.89629985896</v>
      </c>
      <c r="L76" s="4">
        <f t="shared" si="10"/>
        <v>32149.148178376738</v>
      </c>
      <c r="M76" s="4">
        <f t="shared" si="11"/>
        <v>189532.04447823571</v>
      </c>
    </row>
    <row r="77" spans="5:13" thickTop="1" thickBot="1" x14ac:dyDescent="0.3">
      <c r="F77">
        <v>3</v>
      </c>
      <c r="G77" s="4">
        <f t="shared" si="6"/>
        <v>2030.843244431878</v>
      </c>
      <c r="H77" s="1">
        <f t="shared" si="7"/>
        <v>530.40059986860456</v>
      </c>
      <c r="I77" s="4">
        <f t="shared" si="8"/>
        <v>367320.45122175454</v>
      </c>
      <c r="K77" s="4">
        <f t="shared" si="9"/>
        <v>159413.73954429085</v>
      </c>
      <c r="L77" s="4">
        <f t="shared" si="10"/>
        <v>32679.548778245342</v>
      </c>
      <c r="M77" s="4">
        <f t="shared" si="11"/>
        <v>192093.28832253619</v>
      </c>
    </row>
    <row r="78" spans="5:13" thickTop="1" thickBot="1" x14ac:dyDescent="0.3">
      <c r="F78">
        <v>4</v>
      </c>
      <c r="G78" s="4">
        <f t="shared" si="6"/>
        <v>2027.9149911201032</v>
      </c>
      <c r="H78" s="1">
        <f t="shared" si="7"/>
        <v>533.32885318037938</v>
      </c>
      <c r="I78" s="4">
        <f t="shared" si="8"/>
        <v>366787.12236857414</v>
      </c>
      <c r="K78" s="4">
        <f t="shared" si="9"/>
        <v>161441.65453541095</v>
      </c>
      <c r="L78" s="4">
        <f t="shared" si="10"/>
        <v>33212.877631425719</v>
      </c>
      <c r="M78" s="4">
        <f t="shared" si="11"/>
        <v>194654.53216683667</v>
      </c>
    </row>
    <row r="79" spans="5:13" thickTop="1" thickBot="1" x14ac:dyDescent="0.3">
      <c r="F79">
        <v>5</v>
      </c>
      <c r="G79" s="4">
        <f t="shared" si="6"/>
        <v>2024.9705714098366</v>
      </c>
      <c r="H79" s="1">
        <f t="shared" si="7"/>
        <v>536.27327289064601</v>
      </c>
      <c r="I79" s="4">
        <f t="shared" si="8"/>
        <v>366250.84909568349</v>
      </c>
      <c r="K79" s="4">
        <f t="shared" si="9"/>
        <v>163466.62510682078</v>
      </c>
      <c r="L79" s="4">
        <f t="shared" si="10"/>
        <v>33749.150904316368</v>
      </c>
      <c r="M79" s="4">
        <f t="shared" si="11"/>
        <v>197215.77601113715</v>
      </c>
    </row>
    <row r="80" spans="5:13" thickTop="1" thickBot="1" x14ac:dyDescent="0.3">
      <c r="F80">
        <v>6</v>
      </c>
      <c r="G80" s="4">
        <f t="shared" si="6"/>
        <v>2022.0098960490859</v>
      </c>
      <c r="H80" s="1">
        <f t="shared" si="7"/>
        <v>539.23394825139667</v>
      </c>
      <c r="I80" s="4">
        <f t="shared" si="8"/>
        <v>365711.61514743208</v>
      </c>
      <c r="K80" s="4">
        <f t="shared" si="9"/>
        <v>165488.63500286985</v>
      </c>
      <c r="L80" s="4">
        <f t="shared" si="10"/>
        <v>34288.384852567768</v>
      </c>
      <c r="M80" s="4">
        <f t="shared" si="11"/>
        <v>199777.01985543763</v>
      </c>
    </row>
    <row r="81" spans="5:13" thickTop="1" thickBot="1" x14ac:dyDescent="0.3">
      <c r="F81">
        <v>7</v>
      </c>
      <c r="G81" s="4">
        <f t="shared" si="6"/>
        <v>2019.0328752931146</v>
      </c>
      <c r="H81" s="1">
        <f t="shared" si="7"/>
        <v>542.21096900736802</v>
      </c>
      <c r="I81" s="4">
        <f t="shared" si="8"/>
        <v>365169.40417842474</v>
      </c>
      <c r="K81" s="4">
        <f t="shared" si="9"/>
        <v>167507.66787816296</v>
      </c>
      <c r="L81" s="4">
        <f t="shared" si="10"/>
        <v>34830.595821575138</v>
      </c>
      <c r="M81" s="4">
        <f t="shared" si="11"/>
        <v>202338.26369973811</v>
      </c>
    </row>
    <row r="82" spans="5:13" thickTop="1" thickBot="1" x14ac:dyDescent="0.3">
      <c r="F82">
        <v>8</v>
      </c>
      <c r="G82" s="4">
        <f t="shared" si="6"/>
        <v>2016.03941890172</v>
      </c>
      <c r="H82" s="1">
        <f t="shared" si="7"/>
        <v>545.20442539876262</v>
      </c>
      <c r="I82" s="4">
        <f t="shared" si="8"/>
        <v>364624.19975302595</v>
      </c>
      <c r="K82" s="4">
        <f t="shared" si="9"/>
        <v>169523.70729706468</v>
      </c>
      <c r="L82" s="4">
        <f t="shared" si="10"/>
        <v>35375.8002469739</v>
      </c>
      <c r="M82" s="4">
        <f t="shared" si="11"/>
        <v>204899.50754403858</v>
      </c>
    </row>
    <row r="83" spans="5:13" thickTop="1" thickBot="1" x14ac:dyDescent="0.3">
      <c r="F83">
        <v>9</v>
      </c>
      <c r="G83" s="4">
        <f t="shared" si="6"/>
        <v>2013.0294361364977</v>
      </c>
      <c r="H83" s="1">
        <f t="shared" si="7"/>
        <v>548.2144081639849</v>
      </c>
      <c r="I83" s="4">
        <f t="shared" si="8"/>
        <v>364075.98534486198</v>
      </c>
      <c r="K83" s="4">
        <f t="shared" si="9"/>
        <v>171536.73673320119</v>
      </c>
      <c r="L83" s="4">
        <f t="shared" si="10"/>
        <v>35924.014655137886</v>
      </c>
      <c r="M83" s="4">
        <f t="shared" si="11"/>
        <v>207460.75138833909</v>
      </c>
    </row>
    <row r="84" spans="5:13" thickTop="1" thickBot="1" x14ac:dyDescent="0.3">
      <c r="F84">
        <v>10</v>
      </c>
      <c r="G84" s="4">
        <f t="shared" si="6"/>
        <v>2010.0028357580923</v>
      </c>
      <c r="H84" s="1">
        <f t="shared" si="7"/>
        <v>551.24100854239032</v>
      </c>
      <c r="I84" s="4">
        <f t="shared" si="8"/>
        <v>363524.74433631962</v>
      </c>
      <c r="K84" s="4">
        <f t="shared" si="9"/>
        <v>173546.73956895928</v>
      </c>
      <c r="L84" s="4">
        <f t="shared" si="10"/>
        <v>36475.255663680276</v>
      </c>
      <c r="M84" s="4">
        <f t="shared" si="11"/>
        <v>210021.99523263954</v>
      </c>
    </row>
    <row r="85" spans="5:13" thickTop="1" thickBot="1" x14ac:dyDescent="0.3">
      <c r="F85">
        <v>11</v>
      </c>
      <c r="G85" s="4">
        <f t="shared" si="6"/>
        <v>2006.9595260234312</v>
      </c>
      <c r="H85" s="1">
        <f t="shared" si="7"/>
        <v>554.2843182770514</v>
      </c>
      <c r="I85" s="4">
        <f t="shared" si="8"/>
        <v>362970.46001804259</v>
      </c>
      <c r="K85" s="4">
        <f t="shared" si="9"/>
        <v>175553.6990949827</v>
      </c>
      <c r="L85" s="4">
        <f t="shared" si="10"/>
        <v>37029.539981957329</v>
      </c>
      <c r="M85" s="4">
        <f t="shared" si="11"/>
        <v>212583.23907694002</v>
      </c>
    </row>
    <row r="86" spans="5:13" thickTop="1" thickBot="1" x14ac:dyDescent="0.3">
      <c r="F86">
        <v>12</v>
      </c>
      <c r="G86" s="4">
        <f t="shared" si="6"/>
        <v>2003.8994146829436</v>
      </c>
      <c r="H86" s="1">
        <f t="shared" si="7"/>
        <v>557.34442961753894</v>
      </c>
      <c r="I86" s="4">
        <f t="shared" si="8"/>
        <v>362413.11558842508</v>
      </c>
      <c r="K86" s="4">
        <f t="shared" si="9"/>
        <v>177557.59850966564</v>
      </c>
      <c r="L86" s="4">
        <f t="shared" si="10"/>
        <v>37586.884411574865</v>
      </c>
      <c r="M86" s="4">
        <f t="shared" si="11"/>
        <v>215144.4829212405</v>
      </c>
    </row>
    <row r="87" spans="5:13" thickTop="1" thickBot="1" x14ac:dyDescent="0.3">
      <c r="E87" t="s">
        <v>13</v>
      </c>
      <c r="F87">
        <v>1</v>
      </c>
      <c r="G87" s="4">
        <f t="shared" si="6"/>
        <v>2000.8224089777634</v>
      </c>
      <c r="H87" s="1">
        <f t="shared" si="7"/>
        <v>560.42143532271916</v>
      </c>
      <c r="I87" s="4">
        <f t="shared" si="8"/>
        <v>361852.69415310235</v>
      </c>
      <c r="K87" s="4">
        <f t="shared" si="9"/>
        <v>179558.42091864339</v>
      </c>
      <c r="L87" s="4">
        <f t="shared" si="10"/>
        <v>38147.305846897587</v>
      </c>
      <c r="M87" s="4">
        <f t="shared" si="11"/>
        <v>217705.72676554098</v>
      </c>
    </row>
    <row r="88" spans="5:13" thickTop="1" thickBot="1" x14ac:dyDescent="0.3">
      <c r="F88">
        <v>2</v>
      </c>
      <c r="G88" s="4">
        <f t="shared" si="6"/>
        <v>1997.7284156369194</v>
      </c>
      <c r="H88" s="1">
        <f t="shared" si="7"/>
        <v>563.51542866356317</v>
      </c>
      <c r="I88" s="4">
        <f t="shared" si="8"/>
        <v>361289.17872443877</v>
      </c>
      <c r="K88" s="4">
        <f t="shared" si="9"/>
        <v>181556.14933428032</v>
      </c>
      <c r="L88" s="4">
        <f t="shared" si="10"/>
        <v>38710.821275561153</v>
      </c>
      <c r="M88" s="4">
        <f t="shared" si="11"/>
        <v>220266.97060984146</v>
      </c>
    </row>
    <row r="89" spans="5:13" thickTop="1" thickBot="1" x14ac:dyDescent="0.3">
      <c r="F89">
        <v>3</v>
      </c>
      <c r="G89" s="4">
        <f t="shared" si="6"/>
        <v>1994.617340874506</v>
      </c>
      <c r="H89" s="1">
        <f t="shared" si="7"/>
        <v>566.62650342597658</v>
      </c>
      <c r="I89" s="4">
        <f t="shared" si="8"/>
        <v>360722.55222101277</v>
      </c>
      <c r="K89" s="4">
        <f t="shared" si="9"/>
        <v>183550.76667515482</v>
      </c>
      <c r="L89" s="4">
        <f t="shared" si="10"/>
        <v>39277.447778987131</v>
      </c>
      <c r="M89" s="4">
        <f t="shared" si="11"/>
        <v>222828.21445414197</v>
      </c>
    </row>
    <row r="90" spans="5:13" thickTop="1" thickBot="1" x14ac:dyDescent="0.3">
      <c r="F90">
        <v>4</v>
      </c>
      <c r="G90" s="4">
        <f t="shared" si="6"/>
        <v>1991.4890903868416</v>
      </c>
      <c r="H90" s="1">
        <f t="shared" si="7"/>
        <v>569.75475391364103</v>
      </c>
      <c r="I90" s="4">
        <f t="shared" si="8"/>
        <v>360152.79746709915</v>
      </c>
      <c r="K90" s="4">
        <f t="shared" si="9"/>
        <v>185542.25576554166</v>
      </c>
      <c r="L90" s="4">
        <f t="shared" si="10"/>
        <v>39847.202532900774</v>
      </c>
      <c r="M90" s="4">
        <f t="shared" si="11"/>
        <v>225389.45829844242</v>
      </c>
    </row>
    <row r="91" spans="5:13" thickTop="1" thickBot="1" x14ac:dyDescent="0.3">
      <c r="F91">
        <v>5</v>
      </c>
      <c r="G91" s="4">
        <f t="shared" si="6"/>
        <v>1988.3435693496101</v>
      </c>
      <c r="H91" s="1">
        <f t="shared" si="7"/>
        <v>572.90027495087247</v>
      </c>
      <c r="I91" s="4">
        <f t="shared" si="8"/>
        <v>359579.89719214826</v>
      </c>
      <c r="K91" s="4">
        <f t="shared" si="9"/>
        <v>187530.59933489127</v>
      </c>
      <c r="L91" s="4">
        <f t="shared" si="10"/>
        <v>40420.102807851647</v>
      </c>
      <c r="M91" s="4">
        <f t="shared" si="11"/>
        <v>227950.70214274293</v>
      </c>
    </row>
    <row r="92" spans="5:13" thickTop="1" thickBot="1" x14ac:dyDescent="0.3">
      <c r="F92">
        <v>6</v>
      </c>
      <c r="G92" s="4">
        <f t="shared" si="6"/>
        <v>1985.1806824149853</v>
      </c>
      <c r="H92" s="1">
        <f t="shared" si="7"/>
        <v>576.06316188549727</v>
      </c>
      <c r="I92" s="4">
        <f t="shared" si="8"/>
        <v>359003.83403026278</v>
      </c>
      <c r="K92" s="4">
        <f t="shared" si="9"/>
        <v>189515.78001730627</v>
      </c>
      <c r="L92" s="4">
        <f t="shared" si="10"/>
        <v>40996.165969737143</v>
      </c>
      <c r="M92" s="4">
        <f t="shared" si="11"/>
        <v>230511.94598704341</v>
      </c>
    </row>
    <row r="93" spans="5:13" thickTop="1" thickBot="1" x14ac:dyDescent="0.3">
      <c r="F93">
        <v>7</v>
      </c>
      <c r="G93" s="4">
        <f t="shared" si="6"/>
        <v>1982.0003337087426</v>
      </c>
      <c r="H93" s="1">
        <f t="shared" si="7"/>
        <v>579.24351059174001</v>
      </c>
      <c r="I93" s="4">
        <f t="shared" si="8"/>
        <v>358424.59051967104</v>
      </c>
      <c r="K93" s="4">
        <f t="shared" si="9"/>
        <v>191497.78035101501</v>
      </c>
      <c r="L93" s="4">
        <f t="shared" si="10"/>
        <v>41575.409480328883</v>
      </c>
      <c r="M93" s="4">
        <f t="shared" si="11"/>
        <v>233073.18983134389</v>
      </c>
    </row>
    <row r="94" spans="5:13" thickTop="1" thickBot="1" x14ac:dyDescent="0.3">
      <c r="F94">
        <v>8</v>
      </c>
      <c r="G94" s="4">
        <f t="shared" si="6"/>
        <v>1978.8024268273505</v>
      </c>
      <c r="H94" s="1">
        <f t="shared" si="7"/>
        <v>582.44141747313211</v>
      </c>
      <c r="I94" s="4">
        <f t="shared" si="8"/>
        <v>357842.1491021979</v>
      </c>
      <c r="K94" s="4">
        <f t="shared" si="9"/>
        <v>193476.58277784236</v>
      </c>
      <c r="L94" s="4">
        <f t="shared" si="10"/>
        <v>42157.850897802018</v>
      </c>
      <c r="M94" s="4">
        <f t="shared" si="11"/>
        <v>235634.43367564437</v>
      </c>
    </row>
    <row r="95" spans="5:13" thickTop="1" thickBot="1" x14ac:dyDescent="0.3">
      <c r="F95">
        <v>9</v>
      </c>
      <c r="G95" s="4">
        <f t="shared" si="6"/>
        <v>1975.5868648350508</v>
      </c>
      <c r="H95" s="1">
        <f t="shared" si="7"/>
        <v>585.65697946543173</v>
      </c>
      <c r="I95" s="4">
        <f t="shared" si="8"/>
        <v>357256.49212273245</v>
      </c>
      <c r="K95" s="4">
        <f t="shared" si="9"/>
        <v>195452.16964267741</v>
      </c>
      <c r="L95" s="4">
        <f t="shared" si="10"/>
        <v>42743.507877267453</v>
      </c>
      <c r="M95" s="4">
        <f t="shared" si="11"/>
        <v>238195.67751994487</v>
      </c>
    </row>
    <row r="96" spans="5:13" thickTop="1" thickBot="1" x14ac:dyDescent="0.3">
      <c r="F96">
        <v>10</v>
      </c>
      <c r="G96" s="4">
        <f t="shared" si="6"/>
        <v>1972.3535502609191</v>
      </c>
      <c r="H96" s="1">
        <f t="shared" si="7"/>
        <v>588.89029403956351</v>
      </c>
      <c r="I96" s="4">
        <f t="shared" si="8"/>
        <v>356667.60182869289</v>
      </c>
      <c r="K96" s="4">
        <f t="shared" si="9"/>
        <v>197424.52319293833</v>
      </c>
      <c r="L96" s="4">
        <f t="shared" si="10"/>
        <v>43332.398171307017</v>
      </c>
      <c r="M96" s="4">
        <f t="shared" si="11"/>
        <v>240756.92136424535</v>
      </c>
    </row>
    <row r="97" spans="5:13" thickTop="1" thickBot="1" x14ac:dyDescent="0.3">
      <c r="F97">
        <v>11</v>
      </c>
      <c r="G97" s="4">
        <f t="shared" si="6"/>
        <v>1969.1023850959089</v>
      </c>
      <c r="H97" s="1">
        <f t="shared" si="7"/>
        <v>592.14145920457372</v>
      </c>
      <c r="I97" s="4">
        <f t="shared" si="8"/>
        <v>356075.46036948834</v>
      </c>
      <c r="K97" s="4">
        <f t="shared" si="9"/>
        <v>199393.62557803423</v>
      </c>
      <c r="L97" s="4">
        <f t="shared" si="10"/>
        <v>43924.539630511594</v>
      </c>
      <c r="M97" s="4">
        <f t="shared" si="11"/>
        <v>243318.16520854583</v>
      </c>
    </row>
    <row r="98" spans="5:13" thickTop="1" thickBot="1" x14ac:dyDescent="0.3">
      <c r="F98">
        <v>12</v>
      </c>
      <c r="G98" s="4">
        <f t="shared" si="6"/>
        <v>1965.8332707898835</v>
      </c>
      <c r="H98" s="1">
        <f t="shared" si="7"/>
        <v>595.41057351059908</v>
      </c>
      <c r="I98" s="4">
        <f t="shared" si="8"/>
        <v>355480.04979597771</v>
      </c>
      <c r="K98" s="4">
        <f t="shared" si="9"/>
        <v>201359.45884882411</v>
      </c>
      <c r="L98" s="4">
        <f t="shared" si="10"/>
        <v>44519.950204022192</v>
      </c>
      <c r="M98" s="4">
        <f t="shared" si="11"/>
        <v>245879.40905284631</v>
      </c>
    </row>
    <row r="99" spans="5:13" thickTop="1" thickBot="1" x14ac:dyDescent="0.3">
      <c r="E99" t="s">
        <v>14</v>
      </c>
      <c r="F99">
        <v>1</v>
      </c>
      <c r="G99" s="4">
        <f t="shared" si="6"/>
        <v>1962.5461082486272</v>
      </c>
      <c r="H99" s="1">
        <f t="shared" si="7"/>
        <v>598.69773605185537</v>
      </c>
      <c r="I99" s="4">
        <f t="shared" si="8"/>
        <v>354881.35205992585</v>
      </c>
      <c r="K99" s="4">
        <f t="shared" si="9"/>
        <v>203322.00495707273</v>
      </c>
      <c r="L99" s="4">
        <f t="shared" si="10"/>
        <v>45118.64794007405</v>
      </c>
      <c r="M99" s="4">
        <f t="shared" si="11"/>
        <v>248440.65289714676</v>
      </c>
    </row>
    <row r="100" spans="5:13" thickTop="1" thickBot="1" x14ac:dyDescent="0.3">
      <c r="F100">
        <v>2</v>
      </c>
      <c r="G100" s="4">
        <f t="shared" si="6"/>
        <v>1959.2407978308408</v>
      </c>
      <c r="H100" s="1">
        <f t="shared" si="7"/>
        <v>602.00304646964173</v>
      </c>
      <c r="I100" s="4">
        <f t="shared" si="8"/>
        <v>354279.3490134562</v>
      </c>
      <c r="K100" s="4">
        <f t="shared" si="9"/>
        <v>205281.24575490356</v>
      </c>
      <c r="L100" s="4">
        <f t="shared" si="10"/>
        <v>45720.650986543689</v>
      </c>
      <c r="M100" s="4">
        <f t="shared" si="11"/>
        <v>251001.89674144724</v>
      </c>
    </row>
    <row r="101" spans="5:13" thickTop="1" thickBot="1" x14ac:dyDescent="0.3">
      <c r="F101">
        <v>3</v>
      </c>
      <c r="G101" s="4">
        <f t="shared" si="6"/>
        <v>1955.9172393451229</v>
      </c>
      <c r="H101" s="1">
        <f t="shared" si="7"/>
        <v>605.3266049553597</v>
      </c>
      <c r="I101" s="4">
        <f t="shared" si="8"/>
        <v>353674.02240850084</v>
      </c>
      <c r="K101" s="4">
        <f t="shared" si="9"/>
        <v>207237.16299424868</v>
      </c>
      <c r="L101" s="4">
        <f t="shared" si="10"/>
        <v>46325.977591499046</v>
      </c>
      <c r="M101" s="4">
        <f t="shared" si="11"/>
        <v>253563.14058574772</v>
      </c>
    </row>
    <row r="102" spans="5:13" thickTop="1" thickBot="1" x14ac:dyDescent="0.3">
      <c r="F102">
        <v>4</v>
      </c>
      <c r="G102" s="4">
        <f t="shared" si="6"/>
        <v>1952.5753320469319</v>
      </c>
      <c r="H102" s="1">
        <f t="shared" si="7"/>
        <v>608.66851225355072</v>
      </c>
      <c r="I102" s="4">
        <f t="shared" si="8"/>
        <v>353065.35389624728</v>
      </c>
      <c r="K102" s="4">
        <f t="shared" si="9"/>
        <v>209189.7383262956</v>
      </c>
      <c r="L102" s="4">
        <f t="shared" si="10"/>
        <v>46934.646103752595</v>
      </c>
      <c r="M102" s="4">
        <f t="shared" si="11"/>
        <v>256124.3844300482</v>
      </c>
    </row>
    <row r="103" spans="5:13" thickTop="1" thickBot="1" x14ac:dyDescent="0.3">
      <c r="F103">
        <v>5</v>
      </c>
      <c r="G103" s="4">
        <f t="shared" si="6"/>
        <v>1949.2149746355319</v>
      </c>
      <c r="H103" s="1">
        <f t="shared" si="7"/>
        <v>612.02886966495066</v>
      </c>
      <c r="I103" s="4">
        <f t="shared" si="8"/>
        <v>352453.32502658234</v>
      </c>
      <c r="K103" s="4">
        <f t="shared" si="9"/>
        <v>211138.95330093114</v>
      </c>
      <c r="L103" s="4">
        <f t="shared" si="10"/>
        <v>47546.674973417546</v>
      </c>
      <c r="M103" s="4">
        <f t="shared" si="11"/>
        <v>258685.62827434868</v>
      </c>
    </row>
    <row r="104" spans="5:13" thickTop="1" thickBot="1" x14ac:dyDescent="0.3">
      <c r="F104">
        <v>6</v>
      </c>
      <c r="G104" s="4">
        <f t="shared" si="6"/>
        <v>1945.8360652509234</v>
      </c>
      <c r="H104" s="1">
        <f t="shared" si="7"/>
        <v>615.40777904955917</v>
      </c>
      <c r="I104" s="4">
        <f t="shared" si="8"/>
        <v>351837.91724753281</v>
      </c>
      <c r="K104" s="4">
        <f t="shared" si="9"/>
        <v>213084.78936618206</v>
      </c>
      <c r="L104" s="4">
        <f t="shared" si="10"/>
        <v>48162.082752467104</v>
      </c>
      <c r="M104" s="4">
        <f t="shared" si="11"/>
        <v>261246.87211864916</v>
      </c>
    </row>
    <row r="105" spans="5:13" thickTop="1" thickBot="1" x14ac:dyDescent="0.3">
      <c r="F105">
        <v>7</v>
      </c>
      <c r="G105" s="4">
        <f t="shared" si="6"/>
        <v>1942.4385014707541</v>
      </c>
      <c r="H105" s="1">
        <f t="shared" si="7"/>
        <v>618.80534282972849</v>
      </c>
      <c r="I105" s="4">
        <f t="shared" si="8"/>
        <v>351219.11190470308</v>
      </c>
      <c r="K105" s="4">
        <f t="shared" si="9"/>
        <v>215027.22786765281</v>
      </c>
      <c r="L105" s="4">
        <f t="shared" si="10"/>
        <v>48780.888095296832</v>
      </c>
      <c r="M105" s="4">
        <f t="shared" si="11"/>
        <v>263808.11596294964</v>
      </c>
    </row>
    <row r="106" spans="5:13" thickTop="1" thickBot="1" x14ac:dyDescent="0.3">
      <c r="F106">
        <v>8</v>
      </c>
      <c r="G106" s="4">
        <f t="shared" si="6"/>
        <v>1939.0221803072152</v>
      </c>
      <c r="H106" s="1">
        <f t="shared" si="7"/>
        <v>622.22166399326738</v>
      </c>
      <c r="I106" s="4">
        <f t="shared" si="8"/>
        <v>350596.89024070982</v>
      </c>
      <c r="K106" s="4">
        <f t="shared" si="9"/>
        <v>216966.25004796003</v>
      </c>
      <c r="L106" s="4">
        <f t="shared" si="10"/>
        <v>49403.109759290099</v>
      </c>
      <c r="M106" s="4">
        <f t="shared" si="11"/>
        <v>266369.35980725015</v>
      </c>
    </row>
    <row r="107" spans="5:13" thickTop="1" thickBot="1" x14ac:dyDescent="0.3">
      <c r="F107">
        <v>9</v>
      </c>
      <c r="G107" s="4">
        <f t="shared" si="6"/>
        <v>1935.5869982039187</v>
      </c>
      <c r="H107" s="1">
        <f t="shared" si="7"/>
        <v>625.65684609656387</v>
      </c>
      <c r="I107" s="4">
        <f t="shared" si="8"/>
        <v>349971.23339461326</v>
      </c>
      <c r="K107" s="4">
        <f t="shared" si="9"/>
        <v>218901.83704616394</v>
      </c>
      <c r="L107" s="4">
        <f t="shared" si="10"/>
        <v>50028.766605386663</v>
      </c>
      <c r="M107" s="4">
        <f t="shared" si="11"/>
        <v>268930.6036515506</v>
      </c>
    </row>
    <row r="108" spans="5:13" thickTop="1" thickBot="1" x14ac:dyDescent="0.3">
      <c r="F108">
        <v>10</v>
      </c>
      <c r="G108" s="4">
        <f t="shared" si="6"/>
        <v>1932.132851032761</v>
      </c>
      <c r="H108" s="1">
        <f t="shared" si="7"/>
        <v>629.1109932677216</v>
      </c>
      <c r="I108" s="4">
        <f t="shared" si="8"/>
        <v>349342.12240134552</v>
      </c>
      <c r="K108" s="4">
        <f t="shared" si="9"/>
        <v>220833.96989719672</v>
      </c>
      <c r="L108" s="4">
        <f t="shared" si="10"/>
        <v>50657.877598654384</v>
      </c>
      <c r="M108" s="4">
        <f t="shared" si="11"/>
        <v>271491.84749585111</v>
      </c>
    </row>
    <row r="109" spans="5:13" thickTop="1" thickBot="1" x14ac:dyDescent="0.3">
      <c r="F109">
        <v>11</v>
      </c>
      <c r="G109" s="4">
        <f t="shared" si="6"/>
        <v>1928.6596340907618</v>
      </c>
      <c r="H109" s="1">
        <f t="shared" si="7"/>
        <v>632.58421020972082</v>
      </c>
      <c r="I109" s="4">
        <f t="shared" si="8"/>
        <v>348709.5381911358</v>
      </c>
      <c r="K109" s="4">
        <f t="shared" si="9"/>
        <v>222762.62953128747</v>
      </c>
      <c r="L109" s="4">
        <f t="shared" si="10"/>
        <v>51290.461808864107</v>
      </c>
      <c r="M109" s="4">
        <f t="shared" si="11"/>
        <v>274053.09134015156</v>
      </c>
    </row>
    <row r="110" spans="5:13" thickTop="1" thickBot="1" x14ac:dyDescent="0.3">
      <c r="F110">
        <v>12</v>
      </c>
      <c r="G110" s="4">
        <f t="shared" si="6"/>
        <v>1925.1672420968955</v>
      </c>
      <c r="H110" s="1">
        <f t="shared" si="7"/>
        <v>636.07660220358707</v>
      </c>
      <c r="I110" s="4">
        <f t="shared" si="8"/>
        <v>348073.4615889322</v>
      </c>
      <c r="K110" s="4">
        <f t="shared" si="9"/>
        <v>224687.79677338435</v>
      </c>
      <c r="L110" s="4">
        <f t="shared" si="10"/>
        <v>51926.538411067697</v>
      </c>
      <c r="M110" s="4">
        <f t="shared" si="11"/>
        <v>276614.33518445207</v>
      </c>
    </row>
    <row r="111" spans="5:13" thickTop="1" thickBot="1" x14ac:dyDescent="0.3">
      <c r="E111" t="s">
        <v>15</v>
      </c>
      <c r="F111">
        <v>1</v>
      </c>
      <c r="G111" s="4">
        <f t="shared" si="6"/>
        <v>1921.6555691888968</v>
      </c>
      <c r="H111" s="1">
        <f t="shared" si="7"/>
        <v>639.58827511158574</v>
      </c>
      <c r="I111" s="4">
        <f t="shared" si="8"/>
        <v>347433.87331382063</v>
      </c>
      <c r="K111" s="4">
        <f t="shared" si="9"/>
        <v>226609.45234257326</v>
      </c>
      <c r="L111" s="4">
        <f t="shared" si="10"/>
        <v>52566.126686179283</v>
      </c>
      <c r="M111" s="4">
        <f t="shared" si="11"/>
        <v>279175.57902875252</v>
      </c>
    </row>
    <row r="112" spans="5:13" thickTop="1" thickBot="1" x14ac:dyDescent="0.3">
      <c r="F112">
        <v>2</v>
      </c>
      <c r="G112" s="4">
        <f t="shared" si="6"/>
        <v>1918.1245089200513</v>
      </c>
      <c r="H112" s="1">
        <f t="shared" si="7"/>
        <v>643.11933538043127</v>
      </c>
      <c r="I112" s="4">
        <f t="shared" si="8"/>
        <v>346790.75397844019</v>
      </c>
      <c r="K112" s="4">
        <f t="shared" si="9"/>
        <v>228527.5768514933</v>
      </c>
      <c r="L112" s="4">
        <f t="shared" si="10"/>
        <v>53209.246021559717</v>
      </c>
      <c r="M112" s="4">
        <f t="shared" si="11"/>
        <v>281736.82287305302</v>
      </c>
    </row>
    <row r="113" spans="5:13" thickTop="1" thickBot="1" x14ac:dyDescent="0.3">
      <c r="F113">
        <v>3</v>
      </c>
      <c r="G113" s="4">
        <f t="shared" si="6"/>
        <v>1914.573954255972</v>
      </c>
      <c r="H113" s="1">
        <f t="shared" si="7"/>
        <v>646.66989004451057</v>
      </c>
      <c r="I113" s="4">
        <f t="shared" si="8"/>
        <v>346144.0840883957</v>
      </c>
      <c r="K113" s="4">
        <f t="shared" si="9"/>
        <v>230442.15080574926</v>
      </c>
      <c r="L113" s="4">
        <f t="shared" si="10"/>
        <v>53855.915911604228</v>
      </c>
      <c r="M113" s="4">
        <f t="shared" si="11"/>
        <v>284298.06671735347</v>
      </c>
    </row>
    <row r="114" spans="5:13" thickTop="1" thickBot="1" x14ac:dyDescent="0.3">
      <c r="F114">
        <v>4</v>
      </c>
      <c r="G114" s="4">
        <f t="shared" si="6"/>
        <v>1911.0037975713512</v>
      </c>
      <c r="H114" s="1">
        <f t="shared" si="7"/>
        <v>650.24004672913134</v>
      </c>
      <c r="I114" s="4">
        <f t="shared" si="8"/>
        <v>345493.84404166654</v>
      </c>
      <c r="K114" s="4">
        <f t="shared" si="9"/>
        <v>232353.15460332061</v>
      </c>
      <c r="L114" s="4">
        <f t="shared" si="10"/>
        <v>54506.155958333358</v>
      </c>
      <c r="M114" s="4">
        <f t="shared" si="11"/>
        <v>286859.31056165398</v>
      </c>
    </row>
    <row r="115" spans="5:13" thickTop="1" thickBot="1" x14ac:dyDescent="0.3">
      <c r="F115">
        <v>5</v>
      </c>
      <c r="G115" s="4">
        <f t="shared" si="6"/>
        <v>1907.4139306467007</v>
      </c>
      <c r="H115" s="1">
        <f t="shared" si="7"/>
        <v>653.82991365378189</v>
      </c>
      <c r="I115" s="4">
        <f t="shared" si="8"/>
        <v>344840.01412801276</v>
      </c>
      <c r="K115" s="4">
        <f t="shared" si="9"/>
        <v>234260.56853396731</v>
      </c>
      <c r="L115" s="4">
        <f t="shared" si="10"/>
        <v>55159.985871987141</v>
      </c>
      <c r="M115" s="4">
        <f t="shared" si="11"/>
        <v>289420.55440595443</v>
      </c>
    </row>
    <row r="116" spans="5:13" thickTop="1" thickBot="1" x14ac:dyDescent="0.3">
      <c r="F116">
        <v>6</v>
      </c>
      <c r="G116" s="4">
        <f t="shared" si="6"/>
        <v>1903.8042446650707</v>
      </c>
      <c r="H116" s="1">
        <f t="shared" si="7"/>
        <v>657.43959963541192</v>
      </c>
      <c r="I116" s="4">
        <f t="shared" si="8"/>
        <v>344182.57452837733</v>
      </c>
      <c r="K116" s="4">
        <f t="shared" si="9"/>
        <v>236164.37277863239</v>
      </c>
      <c r="L116" s="4">
        <f t="shared" si="10"/>
        <v>55817.425471622555</v>
      </c>
      <c r="M116" s="4">
        <f t="shared" si="11"/>
        <v>291981.79825025494</v>
      </c>
    </row>
    <row r="117" spans="5:13" thickTop="1" thickBot="1" x14ac:dyDescent="0.3">
      <c r="F117">
        <v>7</v>
      </c>
      <c r="G117" s="4">
        <f t="shared" si="6"/>
        <v>1900.1746302087497</v>
      </c>
      <c r="H117" s="1">
        <f t="shared" si="7"/>
        <v>661.06921409173287</v>
      </c>
      <c r="I117" s="4">
        <f t="shared" si="8"/>
        <v>343521.50531428558</v>
      </c>
      <c r="K117" s="4">
        <f t="shared" si="9"/>
        <v>238064.54740884114</v>
      </c>
      <c r="L117" s="4">
        <f t="shared" si="10"/>
        <v>56478.494685714286</v>
      </c>
      <c r="M117" s="4">
        <f t="shared" si="11"/>
        <v>294543.04209455545</v>
      </c>
    </row>
    <row r="118" spans="5:13" thickTop="1" thickBot="1" x14ac:dyDescent="0.3">
      <c r="F118">
        <v>8</v>
      </c>
      <c r="G118" s="4">
        <f t="shared" si="6"/>
        <v>1896.5249772559519</v>
      </c>
      <c r="H118" s="1">
        <f t="shared" si="7"/>
        <v>664.71886704453073</v>
      </c>
      <c r="I118" s="4">
        <f t="shared" si="8"/>
        <v>342856.78644724103</v>
      </c>
      <c r="K118" s="4">
        <f t="shared" si="9"/>
        <v>239961.0723860971</v>
      </c>
      <c r="L118" s="4">
        <f t="shared" si="10"/>
        <v>57143.213552758818</v>
      </c>
      <c r="M118" s="4">
        <f t="shared" si="11"/>
        <v>297104.2859388559</v>
      </c>
    </row>
    <row r="119" spans="5:13" thickTop="1" thickBot="1" x14ac:dyDescent="0.3">
      <c r="F119">
        <v>9</v>
      </c>
      <c r="G119" s="4">
        <f t="shared" si="6"/>
        <v>1892.8551751774767</v>
      </c>
      <c r="H119" s="1">
        <f t="shared" si="7"/>
        <v>668.38866912300591</v>
      </c>
      <c r="I119" s="4">
        <f t="shared" si="8"/>
        <v>342188.39777811803</v>
      </c>
      <c r="K119" s="4">
        <f t="shared" si="9"/>
        <v>241853.92756127458</v>
      </c>
      <c r="L119" s="4">
        <f t="shared" si="10"/>
        <v>57811.602221881825</v>
      </c>
      <c r="M119" s="4">
        <f t="shared" si="11"/>
        <v>299665.52978315641</v>
      </c>
    </row>
    <row r="120" spans="5:13" thickTop="1" thickBot="1" x14ac:dyDescent="0.3">
      <c r="F120">
        <v>10</v>
      </c>
      <c r="G120" s="4">
        <f t="shared" si="6"/>
        <v>1889.16511273336</v>
      </c>
      <c r="H120" s="1">
        <f t="shared" si="7"/>
        <v>672.07873156712253</v>
      </c>
      <c r="I120" s="4">
        <f t="shared" si="8"/>
        <v>341516.3190465509</v>
      </c>
      <c r="K120" s="4">
        <f t="shared" si="9"/>
        <v>243743.09267400793</v>
      </c>
      <c r="L120" s="4">
        <f t="shared" si="10"/>
        <v>58483.680953448951</v>
      </c>
      <c r="M120" s="4">
        <f t="shared" si="11"/>
        <v>302226.77362745686</v>
      </c>
    </row>
    <row r="121" spans="5:13" thickTop="1" thickBot="1" x14ac:dyDescent="0.3">
      <c r="F121">
        <v>11</v>
      </c>
      <c r="G121" s="4">
        <f t="shared" si="6"/>
        <v>1885.4546780694998</v>
      </c>
      <c r="H121" s="1">
        <f t="shared" si="7"/>
        <v>675.7891662309828</v>
      </c>
      <c r="I121" s="4">
        <f t="shared" si="8"/>
        <v>340840.5298803199</v>
      </c>
      <c r="K121" s="4">
        <f t="shared" si="9"/>
        <v>245628.54735207744</v>
      </c>
      <c r="L121" s="4">
        <f t="shared" si="10"/>
        <v>59159.470119679936</v>
      </c>
      <c r="M121" s="4">
        <f t="shared" si="11"/>
        <v>304788.01747175737</v>
      </c>
    </row>
    <row r="122" spans="5:13" thickTop="1" thickBot="1" x14ac:dyDescent="0.3">
      <c r="F122">
        <v>12</v>
      </c>
      <c r="G122" s="4">
        <f t="shared" si="6"/>
        <v>1881.7237587142663</v>
      </c>
      <c r="H122" s="1">
        <f t="shared" si="7"/>
        <v>679.52008558621628</v>
      </c>
      <c r="I122" s="4">
        <f t="shared" si="8"/>
        <v>340161.00979473366</v>
      </c>
      <c r="K122" s="4">
        <f t="shared" si="9"/>
        <v>247510.27111079171</v>
      </c>
      <c r="L122" s="4">
        <f t="shared" si="10"/>
        <v>59838.990205266149</v>
      </c>
      <c r="M122" s="4">
        <f t="shared" si="11"/>
        <v>307349.26131605788</v>
      </c>
    </row>
    <row r="123" spans="5:13" thickTop="1" thickBot="1" x14ac:dyDescent="0.3">
      <c r="E123" t="s">
        <v>16</v>
      </c>
      <c r="F123">
        <v>1</v>
      </c>
      <c r="G123" s="4">
        <f t="shared" si="6"/>
        <v>1877.9722415750921</v>
      </c>
      <c r="H123" s="1">
        <f t="shared" si="7"/>
        <v>683.27160272539049</v>
      </c>
      <c r="I123" s="4">
        <f t="shared" si="8"/>
        <v>339477.73819200828</v>
      </c>
      <c r="K123" s="4">
        <f t="shared" si="9"/>
        <v>249388.24335236682</v>
      </c>
      <c r="L123" s="4">
        <f t="shared" si="10"/>
        <v>60522.261807991541</v>
      </c>
      <c r="M123" s="4">
        <f t="shared" si="11"/>
        <v>309910.50516035839</v>
      </c>
    </row>
    <row r="124" spans="5:13" thickTop="1" thickBot="1" x14ac:dyDescent="0.3">
      <c r="F124">
        <v>2</v>
      </c>
      <c r="G124" s="4">
        <f t="shared" si="6"/>
        <v>1874.2000129350456</v>
      </c>
      <c r="H124" s="1">
        <f t="shared" si="7"/>
        <v>687.04383136543697</v>
      </c>
      <c r="I124" s="4">
        <f t="shared" si="8"/>
        <v>338790.69436064287</v>
      </c>
      <c r="K124" s="4">
        <f t="shared" si="9"/>
        <v>251262.44336530185</v>
      </c>
      <c r="L124" s="4">
        <f t="shared" si="10"/>
        <v>61209.305639356979</v>
      </c>
      <c r="M124" s="4">
        <f t="shared" si="11"/>
        <v>312471.74900465884</v>
      </c>
    </row>
    <row r="125" spans="5:13" thickTop="1" thickBot="1" x14ac:dyDescent="0.3">
      <c r="F125">
        <v>3</v>
      </c>
      <c r="G125" s="4">
        <f t="shared" si="6"/>
        <v>1870.4069584493827</v>
      </c>
      <c r="H125" s="1">
        <f t="shared" si="7"/>
        <v>690.83688585109985</v>
      </c>
      <c r="I125" s="4">
        <f t="shared" si="8"/>
        <v>338099.85747479176</v>
      </c>
      <c r="K125" s="4">
        <f t="shared" si="9"/>
        <v>253132.85032375122</v>
      </c>
      <c r="L125" s="4">
        <f t="shared" si="10"/>
        <v>61900.142525208081</v>
      </c>
      <c r="M125" s="4">
        <f t="shared" si="11"/>
        <v>315032.99284895929</v>
      </c>
    </row>
    <row r="126" spans="5:13" thickTop="1" thickBot="1" x14ac:dyDescent="0.3">
      <c r="F126">
        <v>4</v>
      </c>
      <c r="G126" s="4">
        <f t="shared" si="6"/>
        <v>1866.5929631420795</v>
      </c>
      <c r="H126" s="1">
        <f t="shared" si="7"/>
        <v>694.65088115840308</v>
      </c>
      <c r="I126" s="4">
        <f t="shared" si="8"/>
        <v>337405.20659363334</v>
      </c>
      <c r="K126" s="4">
        <f t="shared" si="9"/>
        <v>254999.44328689331</v>
      </c>
      <c r="L126" s="4">
        <f t="shared" si="10"/>
        <v>62594.793406366487</v>
      </c>
      <c r="M126" s="4">
        <f t="shared" si="11"/>
        <v>317594.23669325979</v>
      </c>
    </row>
    <row r="127" spans="5:13" thickTop="1" thickBot="1" x14ac:dyDescent="0.3">
      <c r="F127">
        <v>5</v>
      </c>
      <c r="G127" s="4">
        <f t="shared" ref="G127:G134" si="12">I126*$B$3/12</f>
        <v>1862.7579114023508</v>
      </c>
      <c r="H127" s="1">
        <f t="shared" si="7"/>
        <v>698.48593289813175</v>
      </c>
      <c r="I127" s="4">
        <f t="shared" si="8"/>
        <v>336706.72066073521</v>
      </c>
      <c r="K127" s="4">
        <f t="shared" si="9"/>
        <v>256862.20119829566</v>
      </c>
      <c r="L127" s="4">
        <f t="shared" si="10"/>
        <v>63293.27933926462</v>
      </c>
      <c r="M127" s="4">
        <f t="shared" si="11"/>
        <v>320155.4805375603</v>
      </c>
    </row>
    <row r="128" spans="5:13" thickTop="1" thickBot="1" x14ac:dyDescent="0.3">
      <c r="F128">
        <v>6</v>
      </c>
      <c r="G128" s="4">
        <f t="shared" si="12"/>
        <v>1858.9016869811423</v>
      </c>
      <c r="H128" s="1">
        <f t="shared" si="7"/>
        <v>702.34215731934023</v>
      </c>
      <c r="I128" s="4">
        <f t="shared" si="8"/>
        <v>336004.37850341585</v>
      </c>
      <c r="K128" s="4">
        <f t="shared" si="9"/>
        <v>258721.10288527681</v>
      </c>
      <c r="L128" s="4">
        <f t="shared" si="10"/>
        <v>63995.621496583961</v>
      </c>
      <c r="M128" s="4">
        <f t="shared" si="11"/>
        <v>322716.72438186075</v>
      </c>
    </row>
    <row r="129" spans="5:13" thickTop="1" thickBot="1" x14ac:dyDescent="0.3">
      <c r="F129">
        <v>7</v>
      </c>
      <c r="G129" s="4">
        <f t="shared" si="12"/>
        <v>1855.0241729876086</v>
      </c>
      <c r="H129" s="1">
        <f t="shared" si="7"/>
        <v>706.21967131287397</v>
      </c>
      <c r="I129" s="4">
        <f t="shared" si="8"/>
        <v>335298.15883210296</v>
      </c>
      <c r="K129" s="4">
        <f t="shared" si="9"/>
        <v>260576.12705826442</v>
      </c>
      <c r="L129" s="4">
        <f t="shared" si="10"/>
        <v>64701.841167896833</v>
      </c>
      <c r="M129" s="4">
        <f t="shared" si="11"/>
        <v>325277.96822616126</v>
      </c>
    </row>
    <row r="130" spans="5:13" thickTop="1" thickBot="1" x14ac:dyDescent="0.3">
      <c r="F130">
        <v>8</v>
      </c>
      <c r="G130" s="4">
        <f t="shared" si="12"/>
        <v>1851.1252518855683</v>
      </c>
      <c r="H130" s="1">
        <f t="shared" si="7"/>
        <v>710.11859241491425</v>
      </c>
      <c r="I130" s="4">
        <f t="shared" si="8"/>
        <v>334588.04023968807</v>
      </c>
      <c r="K130" s="4">
        <f t="shared" si="9"/>
        <v>262427.25231015001</v>
      </c>
      <c r="L130" s="4">
        <f t="shared" si="10"/>
        <v>65411.959760311751</v>
      </c>
      <c r="M130" s="4">
        <f t="shared" si="11"/>
        <v>327839.21207046177</v>
      </c>
    </row>
    <row r="131" spans="5:13" thickTop="1" thickBot="1" x14ac:dyDescent="0.3">
      <c r="F131">
        <v>9</v>
      </c>
      <c r="G131" s="4">
        <f t="shared" si="12"/>
        <v>1847.2048054899444</v>
      </c>
      <c r="H131" s="1">
        <f t="shared" si="7"/>
        <v>714.03903881053816</v>
      </c>
      <c r="I131" s="4">
        <f t="shared" si="8"/>
        <v>333874.00120087754</v>
      </c>
      <c r="K131" s="4">
        <f t="shared" si="9"/>
        <v>264274.45711563993</v>
      </c>
      <c r="L131" s="4">
        <f t="shared" si="10"/>
        <v>66125.998799122288</v>
      </c>
      <c r="M131" s="4">
        <f t="shared" si="11"/>
        <v>330400.45591476222</v>
      </c>
    </row>
    <row r="132" spans="5:13" thickTop="1" thickBot="1" x14ac:dyDescent="0.3">
      <c r="F132">
        <v>10</v>
      </c>
      <c r="G132" s="4">
        <f t="shared" si="12"/>
        <v>1843.262714963178</v>
      </c>
      <c r="H132" s="1">
        <f t="shared" ref="H132:H195" si="13">IF($B$5+$B$6&gt;=I131+G132, I131, ($B$5+$B$6)-G132)</f>
        <v>717.98112933730454</v>
      </c>
      <c r="I132" s="4">
        <f t="shared" si="8"/>
        <v>333156.02007154026</v>
      </c>
      <c r="K132" s="4">
        <f t="shared" si="9"/>
        <v>266117.71983060311</v>
      </c>
      <c r="L132" s="4">
        <f t="shared" si="10"/>
        <v>66843.979928459594</v>
      </c>
      <c r="M132" s="4">
        <f t="shared" si="11"/>
        <v>332961.69975906273</v>
      </c>
    </row>
    <row r="133" spans="5:13" thickTop="1" thickBot="1" x14ac:dyDescent="0.3">
      <c r="F133">
        <v>11</v>
      </c>
      <c r="G133" s="4">
        <f t="shared" si="12"/>
        <v>1839.2988608116286</v>
      </c>
      <c r="H133" s="1">
        <f t="shared" si="13"/>
        <v>721.94498348885395</v>
      </c>
      <c r="I133" s="4">
        <f t="shared" ref="I133:I196" si="14">MAX(I132-H133, 0)</f>
        <v>332434.07508805138</v>
      </c>
      <c r="K133" s="4">
        <f t="shared" ref="K133:K196" si="15">G133+K132</f>
        <v>267957.01869141473</v>
      </c>
      <c r="L133" s="4">
        <f t="shared" ref="L133:L196" si="16">H133+L132</f>
        <v>67565.924911948445</v>
      </c>
      <c r="M133" s="4">
        <f t="shared" ref="M133:M196" si="17">L133+K133</f>
        <v>335522.94360336318</v>
      </c>
    </row>
    <row r="134" spans="5:13" thickTop="1" thickBot="1" x14ac:dyDescent="0.3">
      <c r="F134">
        <v>12</v>
      </c>
      <c r="G134" s="4">
        <f t="shared" si="12"/>
        <v>1835.3131228819504</v>
      </c>
      <c r="H134" s="1">
        <f t="shared" si="13"/>
        <v>725.93072141853213</v>
      </c>
      <c r="I134" s="4">
        <f t="shared" si="14"/>
        <v>331708.14436663286</v>
      </c>
      <c r="K134" s="4">
        <f t="shared" si="15"/>
        <v>269792.33181429666</v>
      </c>
      <c r="L134" s="4">
        <f t="shared" si="16"/>
        <v>68291.855633366984</v>
      </c>
      <c r="M134" s="4">
        <f t="shared" si="17"/>
        <v>338084.18744766363</v>
      </c>
    </row>
    <row r="135" spans="5:13" thickTop="1" thickBot="1" x14ac:dyDescent="0.3">
      <c r="E135" t="s">
        <v>17</v>
      </c>
      <c r="F135">
        <v>1</v>
      </c>
      <c r="G135" s="4">
        <f t="shared" ref="G135:G182" si="18">I134*$B$3/12</f>
        <v>1831.3053803574523</v>
      </c>
      <c r="H135" s="1">
        <f t="shared" si="13"/>
        <v>729.93846394303023</v>
      </c>
      <c r="I135" s="4">
        <f t="shared" si="14"/>
        <v>330978.20590268984</v>
      </c>
      <c r="K135" s="4">
        <f t="shared" si="15"/>
        <v>271623.63719465409</v>
      </c>
      <c r="L135" s="4">
        <f t="shared" si="16"/>
        <v>69021.794097310019</v>
      </c>
      <c r="M135" s="4">
        <f t="shared" si="17"/>
        <v>340645.43129196414</v>
      </c>
    </row>
    <row r="136" spans="5:13" thickTop="1" thickBot="1" x14ac:dyDescent="0.3">
      <c r="F136">
        <v>2</v>
      </c>
      <c r="G136" s="4">
        <f t="shared" si="18"/>
        <v>1827.2755117544336</v>
      </c>
      <c r="H136" s="1">
        <f t="shared" si="13"/>
        <v>733.96833254604894</v>
      </c>
      <c r="I136" s="4">
        <f t="shared" si="14"/>
        <v>330244.23757014377</v>
      </c>
      <c r="K136" s="4">
        <f t="shared" si="15"/>
        <v>273450.91270640853</v>
      </c>
      <c r="L136" s="4">
        <f t="shared" si="16"/>
        <v>69755.76242985607</v>
      </c>
      <c r="M136" s="4">
        <f t="shared" si="17"/>
        <v>343206.67513626459</v>
      </c>
    </row>
    <row r="137" spans="5:13" thickTop="1" thickBot="1" x14ac:dyDescent="0.3">
      <c r="F137">
        <v>3</v>
      </c>
      <c r="G137" s="4">
        <f t="shared" si="18"/>
        <v>1823.2233949185022</v>
      </c>
      <c r="H137" s="1">
        <f t="shared" si="13"/>
        <v>738.02044938198037</v>
      </c>
      <c r="I137" s="4">
        <f t="shared" si="14"/>
        <v>329506.21712076181</v>
      </c>
      <c r="K137" s="4">
        <f t="shared" si="15"/>
        <v>275274.13610132702</v>
      </c>
      <c r="L137" s="4">
        <f t="shared" si="16"/>
        <v>70493.782879238046</v>
      </c>
      <c r="M137" s="4">
        <f t="shared" si="17"/>
        <v>345767.91898056504</v>
      </c>
    </row>
    <row r="138" spans="5:13" thickTop="1" thickBot="1" x14ac:dyDescent="0.3">
      <c r="F138">
        <v>4</v>
      </c>
      <c r="G138" s="4">
        <f t="shared" si="18"/>
        <v>1819.1489070208727</v>
      </c>
      <c r="H138" s="1">
        <f t="shared" si="13"/>
        <v>742.09493727960989</v>
      </c>
      <c r="I138" s="4">
        <f t="shared" si="14"/>
        <v>328764.12218348222</v>
      </c>
      <c r="K138" s="4">
        <f t="shared" si="15"/>
        <v>277093.28500834788</v>
      </c>
      <c r="L138" s="4">
        <f t="shared" si="16"/>
        <v>71235.877816517663</v>
      </c>
      <c r="M138" s="4">
        <f t="shared" si="17"/>
        <v>348329.16282486555</v>
      </c>
    </row>
    <row r="139" spans="5:13" thickTop="1" thickBot="1" x14ac:dyDescent="0.3">
      <c r="F139">
        <v>5</v>
      </c>
      <c r="G139" s="4">
        <f t="shared" si="18"/>
        <v>1815.0519245546413</v>
      </c>
      <c r="H139" s="1">
        <f t="shared" si="13"/>
        <v>746.19191974584123</v>
      </c>
      <c r="I139" s="4">
        <f t="shared" si="14"/>
        <v>328017.9302637364</v>
      </c>
      <c r="K139" s="4">
        <f t="shared" si="15"/>
        <v>278908.33693290252</v>
      </c>
      <c r="L139" s="4">
        <f t="shared" si="16"/>
        <v>71982.069736263511</v>
      </c>
      <c r="M139" s="4">
        <f t="shared" si="17"/>
        <v>350890.40666916606</v>
      </c>
    </row>
    <row r="140" spans="5:13" thickTop="1" thickBot="1" x14ac:dyDescent="0.3">
      <c r="F140">
        <v>6</v>
      </c>
      <c r="G140" s="4">
        <f t="shared" si="18"/>
        <v>1810.9323233310449</v>
      </c>
      <c r="H140" s="1">
        <f t="shared" si="13"/>
        <v>750.31152096943765</v>
      </c>
      <c r="I140" s="4">
        <f t="shared" si="14"/>
        <v>327267.61874276696</v>
      </c>
      <c r="K140" s="4">
        <f t="shared" si="15"/>
        <v>280719.26925623359</v>
      </c>
      <c r="L140" s="4">
        <f t="shared" si="16"/>
        <v>72732.381257232948</v>
      </c>
      <c r="M140" s="4">
        <f t="shared" si="17"/>
        <v>353451.65051346656</v>
      </c>
    </row>
    <row r="141" spans="5:13" thickTop="1" thickBot="1" x14ac:dyDescent="0.3">
      <c r="F141">
        <v>7</v>
      </c>
      <c r="G141" s="4">
        <f t="shared" si="18"/>
        <v>1806.7899784756928</v>
      </c>
      <c r="H141" s="1">
        <f t="shared" si="13"/>
        <v>754.45386582478977</v>
      </c>
      <c r="I141" s="4">
        <f t="shared" si="14"/>
        <v>326513.16487694217</v>
      </c>
      <c r="K141" s="4">
        <f t="shared" si="15"/>
        <v>282526.0592347093</v>
      </c>
      <c r="L141" s="4">
        <f t="shared" si="16"/>
        <v>73486.835123057739</v>
      </c>
      <c r="M141" s="4">
        <f t="shared" si="17"/>
        <v>356012.89435776707</v>
      </c>
    </row>
    <row r="142" spans="5:13" thickTop="1" thickBot="1" x14ac:dyDescent="0.3">
      <c r="F142">
        <v>8</v>
      </c>
      <c r="G142" s="4">
        <f t="shared" si="18"/>
        <v>1802.6247644247851</v>
      </c>
      <c r="H142" s="1">
        <f t="shared" si="13"/>
        <v>758.61907987569748</v>
      </c>
      <c r="I142" s="4">
        <f t="shared" si="14"/>
        <v>325754.54579706647</v>
      </c>
      <c r="K142" s="4">
        <f t="shared" si="15"/>
        <v>284328.68399913411</v>
      </c>
      <c r="L142" s="4">
        <f t="shared" si="16"/>
        <v>74245.454202933441</v>
      </c>
      <c r="M142" s="4">
        <f t="shared" si="17"/>
        <v>358574.13820206758</v>
      </c>
    </row>
    <row r="143" spans="5:13" thickTop="1" thickBot="1" x14ac:dyDescent="0.3">
      <c r="F143">
        <v>9</v>
      </c>
      <c r="G143" s="4">
        <f t="shared" si="18"/>
        <v>1798.4365549213046</v>
      </c>
      <c r="H143" s="1">
        <f t="shared" si="13"/>
        <v>762.80728937917797</v>
      </c>
      <c r="I143" s="4">
        <f t="shared" si="14"/>
        <v>324991.73850768729</v>
      </c>
      <c r="K143" s="4">
        <f t="shared" si="15"/>
        <v>286127.12055405544</v>
      </c>
      <c r="L143" s="4">
        <f t="shared" si="16"/>
        <v>75008.261492312624</v>
      </c>
      <c r="M143" s="4">
        <f t="shared" si="17"/>
        <v>361135.38204636809</v>
      </c>
    </row>
    <row r="144" spans="5:13" thickTop="1" thickBot="1" x14ac:dyDescent="0.3">
      <c r="F144">
        <v>10</v>
      </c>
      <c r="G144" s="4">
        <f t="shared" si="18"/>
        <v>1794.2252230111901</v>
      </c>
      <c r="H144" s="1">
        <f t="shared" si="13"/>
        <v>767.01862128929247</v>
      </c>
      <c r="I144" s="4">
        <f t="shared" si="14"/>
        <v>324224.719886398</v>
      </c>
      <c r="K144" s="4">
        <f t="shared" si="15"/>
        <v>287921.3457770666</v>
      </c>
      <c r="L144" s="4">
        <f t="shared" si="16"/>
        <v>75775.280113601912</v>
      </c>
      <c r="M144" s="4">
        <f t="shared" si="17"/>
        <v>363696.62589066848</v>
      </c>
    </row>
    <row r="145" spans="5:13" thickTop="1" thickBot="1" x14ac:dyDescent="0.3">
      <c r="F145">
        <v>11</v>
      </c>
      <c r="G145" s="4">
        <f t="shared" si="18"/>
        <v>1789.990641039489</v>
      </c>
      <c r="H145" s="1">
        <f t="shared" si="13"/>
        <v>771.25320326099359</v>
      </c>
      <c r="I145" s="4">
        <f t="shared" si="14"/>
        <v>323453.466683137</v>
      </c>
      <c r="K145" s="4">
        <f t="shared" si="15"/>
        <v>289711.3364181061</v>
      </c>
      <c r="L145" s="4">
        <f t="shared" si="16"/>
        <v>76546.5333168629</v>
      </c>
      <c r="M145" s="4">
        <f t="shared" si="17"/>
        <v>366257.86973496899</v>
      </c>
    </row>
    <row r="146" spans="5:13" thickTop="1" thickBot="1" x14ac:dyDescent="0.3">
      <c r="F146">
        <v>12</v>
      </c>
      <c r="G146" s="4">
        <f t="shared" si="18"/>
        <v>1785.7326806464855</v>
      </c>
      <c r="H146" s="1">
        <f t="shared" si="13"/>
        <v>775.51116365399707</v>
      </c>
      <c r="I146" s="4">
        <f t="shared" si="14"/>
        <v>322677.95551948302</v>
      </c>
      <c r="K146" s="4">
        <f t="shared" si="15"/>
        <v>291497.06909875257</v>
      </c>
      <c r="L146" s="4">
        <f t="shared" si="16"/>
        <v>77322.044480516895</v>
      </c>
      <c r="M146" s="4">
        <f t="shared" si="17"/>
        <v>368819.1135792695</v>
      </c>
    </row>
    <row r="147" spans="5:13" thickTop="1" thickBot="1" x14ac:dyDescent="0.3">
      <c r="E147" t="s">
        <v>24</v>
      </c>
      <c r="F147">
        <v>1</v>
      </c>
      <c r="G147" s="4">
        <f t="shared" si="18"/>
        <v>1781.4512127638127</v>
      </c>
      <c r="H147" s="1">
        <f t="shared" si="13"/>
        <v>779.79263153666989</v>
      </c>
      <c r="I147" s="4">
        <f t="shared" si="14"/>
        <v>321898.16288794635</v>
      </c>
      <c r="K147" s="4">
        <f t="shared" si="15"/>
        <v>293278.52031151636</v>
      </c>
      <c r="L147" s="4">
        <f t="shared" si="16"/>
        <v>78101.837112053559</v>
      </c>
      <c r="M147" s="4">
        <f t="shared" si="17"/>
        <v>371380.35742356989</v>
      </c>
    </row>
    <row r="148" spans="5:13" thickTop="1" thickBot="1" x14ac:dyDescent="0.3">
      <c r="F148">
        <v>2</v>
      </c>
      <c r="G148" s="4">
        <f t="shared" si="18"/>
        <v>1777.1461076105372</v>
      </c>
      <c r="H148" s="1">
        <f t="shared" si="13"/>
        <v>784.09773668994535</v>
      </c>
      <c r="I148" s="4">
        <f t="shared" si="14"/>
        <v>321114.06515125639</v>
      </c>
      <c r="K148" s="4">
        <f t="shared" si="15"/>
        <v>295055.66641912691</v>
      </c>
      <c r="L148" s="4">
        <f t="shared" si="16"/>
        <v>78885.934848743505</v>
      </c>
      <c r="M148" s="4">
        <f t="shared" si="17"/>
        <v>373941.6012678704</v>
      </c>
    </row>
    <row r="149" spans="5:13" thickTop="1" thickBot="1" x14ac:dyDescent="0.3">
      <c r="F149">
        <v>3</v>
      </c>
      <c r="G149" s="4">
        <f t="shared" si="18"/>
        <v>1772.8172346892281</v>
      </c>
      <c r="H149" s="1">
        <f t="shared" si="13"/>
        <v>788.42660961125443</v>
      </c>
      <c r="I149" s="4">
        <f t="shared" si="14"/>
        <v>320325.63854164514</v>
      </c>
      <c r="K149" s="4">
        <f t="shared" si="15"/>
        <v>296828.48365381616</v>
      </c>
      <c r="L149" s="4">
        <f t="shared" si="16"/>
        <v>79674.361458354761</v>
      </c>
      <c r="M149" s="4">
        <f t="shared" si="17"/>
        <v>376502.84511217091</v>
      </c>
    </row>
    <row r="150" spans="5:13" thickTop="1" thickBot="1" x14ac:dyDescent="0.3">
      <c r="F150">
        <v>4</v>
      </c>
      <c r="G150" s="4">
        <f t="shared" si="18"/>
        <v>1768.4644627819991</v>
      </c>
      <c r="H150" s="1">
        <f t="shared" si="13"/>
        <v>792.77938151848343</v>
      </c>
      <c r="I150" s="4">
        <f t="shared" si="14"/>
        <v>319532.85916012665</v>
      </c>
      <c r="K150" s="4">
        <f t="shared" si="15"/>
        <v>298596.94811659819</v>
      </c>
      <c r="L150" s="4">
        <f t="shared" si="16"/>
        <v>80467.140839873246</v>
      </c>
      <c r="M150" s="4">
        <f t="shared" si="17"/>
        <v>379064.08895647142</v>
      </c>
    </row>
    <row r="151" spans="5:13" thickTop="1" thickBot="1" x14ac:dyDescent="0.3">
      <c r="F151">
        <v>5</v>
      </c>
      <c r="G151" s="4">
        <f t="shared" si="18"/>
        <v>1764.0876599465328</v>
      </c>
      <c r="H151" s="1">
        <f t="shared" si="13"/>
        <v>797.15618435394981</v>
      </c>
      <c r="I151" s="4">
        <f t="shared" si="14"/>
        <v>318735.70297577273</v>
      </c>
      <c r="K151" s="4">
        <f t="shared" si="15"/>
        <v>300361.03577654471</v>
      </c>
      <c r="L151" s="4">
        <f t="shared" si="16"/>
        <v>81264.297024227199</v>
      </c>
      <c r="M151" s="4">
        <f t="shared" si="17"/>
        <v>381625.33280077192</v>
      </c>
    </row>
    <row r="152" spans="5:13" thickTop="1" thickBot="1" x14ac:dyDescent="0.3">
      <c r="F152">
        <v>6</v>
      </c>
      <c r="G152" s="4">
        <f t="shared" si="18"/>
        <v>1759.6866935120788</v>
      </c>
      <c r="H152" s="1">
        <f t="shared" si="13"/>
        <v>801.55715078840376</v>
      </c>
      <c r="I152" s="4">
        <f t="shared" si="14"/>
        <v>317934.1458249843</v>
      </c>
      <c r="K152" s="4">
        <f t="shared" si="15"/>
        <v>302120.72247005679</v>
      </c>
      <c r="L152" s="4">
        <f t="shared" si="16"/>
        <v>82065.8541750156</v>
      </c>
      <c r="M152" s="4">
        <f t="shared" si="17"/>
        <v>384186.57664507237</v>
      </c>
    </row>
    <row r="153" spans="5:13" thickTop="1" thickBot="1" x14ac:dyDescent="0.3">
      <c r="F153">
        <v>7</v>
      </c>
      <c r="G153" s="4">
        <f t="shared" si="18"/>
        <v>1755.2614300754342</v>
      </c>
      <c r="H153" s="1">
        <f t="shared" si="13"/>
        <v>805.98241422504839</v>
      </c>
      <c r="I153" s="4">
        <f t="shared" si="14"/>
        <v>317128.16341075924</v>
      </c>
      <c r="K153" s="4">
        <f t="shared" si="15"/>
        <v>303875.98390013224</v>
      </c>
      <c r="L153" s="4">
        <f t="shared" si="16"/>
        <v>82871.836589240644</v>
      </c>
      <c r="M153" s="4">
        <f t="shared" si="17"/>
        <v>386747.82048937288</v>
      </c>
    </row>
    <row r="154" spans="5:13" thickTop="1" thickBot="1" x14ac:dyDescent="0.3">
      <c r="F154">
        <v>8</v>
      </c>
      <c r="G154" s="4">
        <f t="shared" si="18"/>
        <v>1750.8117354968999</v>
      </c>
      <c r="H154" s="1">
        <f t="shared" si="13"/>
        <v>810.43210880358265</v>
      </c>
      <c r="I154" s="4">
        <f t="shared" si="14"/>
        <v>316317.73130195565</v>
      </c>
      <c r="K154" s="4">
        <f t="shared" si="15"/>
        <v>305626.79563562915</v>
      </c>
      <c r="L154" s="4">
        <f t="shared" si="16"/>
        <v>83682.268698044223</v>
      </c>
      <c r="M154" s="4">
        <f t="shared" si="17"/>
        <v>389309.06433367339</v>
      </c>
    </row>
    <row r="155" spans="5:13" thickTop="1" thickBot="1" x14ac:dyDescent="0.3">
      <c r="F155">
        <v>9</v>
      </c>
      <c r="G155" s="4">
        <f t="shared" si="18"/>
        <v>1746.3374748962135</v>
      </c>
      <c r="H155" s="1">
        <f t="shared" si="13"/>
        <v>814.90636940426907</v>
      </c>
      <c r="I155" s="4">
        <f t="shared" si="14"/>
        <v>315502.82493255136</v>
      </c>
      <c r="K155" s="4">
        <f t="shared" si="15"/>
        <v>307373.13311052538</v>
      </c>
      <c r="L155" s="4">
        <f t="shared" si="16"/>
        <v>84497.175067448494</v>
      </c>
      <c r="M155" s="4">
        <f t="shared" si="17"/>
        <v>391870.30817797384</v>
      </c>
    </row>
    <row r="156" spans="5:13" thickTop="1" thickBot="1" x14ac:dyDescent="0.3">
      <c r="F156">
        <v>10</v>
      </c>
      <c r="G156" s="4">
        <f t="shared" si="18"/>
        <v>1741.8385126484607</v>
      </c>
      <c r="H156" s="1">
        <f t="shared" si="13"/>
        <v>819.40533165202191</v>
      </c>
      <c r="I156" s="4">
        <f t="shared" si="14"/>
        <v>314683.41960089933</v>
      </c>
      <c r="K156" s="4">
        <f t="shared" si="15"/>
        <v>309114.97162317386</v>
      </c>
      <c r="L156" s="4">
        <f t="shared" si="16"/>
        <v>85316.580399100509</v>
      </c>
      <c r="M156" s="4">
        <f t="shared" si="17"/>
        <v>394431.55202227435</v>
      </c>
    </row>
    <row r="157" spans="5:13" thickTop="1" thickBot="1" x14ac:dyDescent="0.3">
      <c r="F157">
        <v>11</v>
      </c>
      <c r="G157" s="4">
        <f t="shared" si="18"/>
        <v>1737.3147123799652</v>
      </c>
      <c r="H157" s="1">
        <f t="shared" si="13"/>
        <v>823.92913192051742</v>
      </c>
      <c r="I157" s="4">
        <f t="shared" si="14"/>
        <v>313859.49046897882</v>
      </c>
      <c r="K157" s="4">
        <f t="shared" si="15"/>
        <v>310852.2863355538</v>
      </c>
      <c r="L157" s="4">
        <f t="shared" si="16"/>
        <v>86140.509531021031</v>
      </c>
      <c r="M157" s="4">
        <f t="shared" si="17"/>
        <v>396992.79586657486</v>
      </c>
    </row>
    <row r="158" spans="5:13" thickTop="1" thickBot="1" x14ac:dyDescent="0.3">
      <c r="F158">
        <v>12</v>
      </c>
      <c r="G158" s="4">
        <f t="shared" si="18"/>
        <v>1732.765936964154</v>
      </c>
      <c r="H158" s="1">
        <f t="shared" si="13"/>
        <v>828.4779073363286</v>
      </c>
      <c r="I158" s="4">
        <f t="shared" si="14"/>
        <v>313031.01256164251</v>
      </c>
      <c r="K158" s="4">
        <f t="shared" si="15"/>
        <v>312585.05227251793</v>
      </c>
      <c r="L158" s="4">
        <f t="shared" si="16"/>
        <v>86968.987438357362</v>
      </c>
      <c r="M158" s="4">
        <f t="shared" si="17"/>
        <v>399554.03971087531</v>
      </c>
    </row>
    <row r="159" spans="5:13" thickTop="1" thickBot="1" x14ac:dyDescent="0.3">
      <c r="E159" t="s">
        <v>26</v>
      </c>
      <c r="F159">
        <v>1</v>
      </c>
      <c r="G159" s="4">
        <f t="shared" si="18"/>
        <v>1728.1920485174014</v>
      </c>
      <c r="H159" s="1">
        <f t="shared" si="13"/>
        <v>833.05179578308116</v>
      </c>
      <c r="I159" s="4">
        <f t="shared" si="14"/>
        <v>312197.9607658594</v>
      </c>
      <c r="K159" s="4">
        <f t="shared" si="15"/>
        <v>314313.24432103534</v>
      </c>
      <c r="L159" s="4">
        <f t="shared" si="16"/>
        <v>87802.039234140437</v>
      </c>
      <c r="M159" s="4">
        <f t="shared" si="17"/>
        <v>402115.28355517576</v>
      </c>
    </row>
    <row r="160" spans="5:13" thickTop="1" thickBot="1" x14ac:dyDescent="0.3">
      <c r="F160">
        <v>2</v>
      </c>
      <c r="G160" s="4">
        <f t="shared" si="18"/>
        <v>1723.5929083948488</v>
      </c>
      <c r="H160" s="1">
        <f t="shared" si="13"/>
        <v>837.65093590563379</v>
      </c>
      <c r="I160" s="4">
        <f t="shared" si="14"/>
        <v>311360.30982995377</v>
      </c>
      <c r="K160" s="4">
        <f t="shared" si="15"/>
        <v>316036.83722943021</v>
      </c>
      <c r="L160" s="4">
        <f t="shared" si="16"/>
        <v>88639.690170046073</v>
      </c>
      <c r="M160" s="4">
        <f t="shared" si="17"/>
        <v>404676.52739947627</v>
      </c>
    </row>
    <row r="161" spans="5:13" thickTop="1" thickBot="1" x14ac:dyDescent="0.3">
      <c r="F161">
        <v>3</v>
      </c>
      <c r="G161" s="4">
        <f t="shared" si="18"/>
        <v>1718.968377186203</v>
      </c>
      <c r="H161" s="1">
        <f t="shared" si="13"/>
        <v>842.27546711427954</v>
      </c>
      <c r="I161" s="4">
        <f t="shared" si="14"/>
        <v>310518.03436283948</v>
      </c>
      <c r="K161" s="4">
        <f t="shared" si="15"/>
        <v>317755.80560661643</v>
      </c>
      <c r="L161" s="4">
        <f t="shared" si="16"/>
        <v>89481.965637160349</v>
      </c>
      <c r="M161" s="4">
        <f t="shared" si="17"/>
        <v>407237.77124377678</v>
      </c>
    </row>
    <row r="162" spans="5:13" thickTop="1" thickBot="1" x14ac:dyDescent="0.3">
      <c r="F162">
        <v>4</v>
      </c>
      <c r="G162" s="4">
        <f t="shared" si="18"/>
        <v>1714.3183147115096</v>
      </c>
      <c r="H162" s="1">
        <f t="shared" si="13"/>
        <v>846.92552958897295</v>
      </c>
      <c r="I162" s="4">
        <f t="shared" si="14"/>
        <v>309671.10883325053</v>
      </c>
      <c r="K162" s="4">
        <f t="shared" si="15"/>
        <v>319470.12392132793</v>
      </c>
      <c r="L162" s="4">
        <f t="shared" si="16"/>
        <v>90328.891166749323</v>
      </c>
      <c r="M162" s="4">
        <f t="shared" si="17"/>
        <v>409799.01508807729</v>
      </c>
    </row>
    <row r="163" spans="5:13" thickTop="1" thickBot="1" x14ac:dyDescent="0.3">
      <c r="F163">
        <v>5</v>
      </c>
      <c r="G163" s="4">
        <f t="shared" si="18"/>
        <v>1709.6425800169043</v>
      </c>
      <c r="H163" s="1">
        <f t="shared" si="13"/>
        <v>851.6012642835783</v>
      </c>
      <c r="I163" s="4">
        <f t="shared" si="14"/>
        <v>308819.50756896695</v>
      </c>
      <c r="K163" s="4">
        <f t="shared" si="15"/>
        <v>321179.76650134486</v>
      </c>
      <c r="L163" s="4">
        <f t="shared" si="16"/>
        <v>91180.492431032908</v>
      </c>
      <c r="M163" s="4">
        <f t="shared" si="17"/>
        <v>412360.25893237779</v>
      </c>
    </row>
    <row r="164" spans="5:13" thickTop="1" thickBot="1" x14ac:dyDescent="0.3">
      <c r="F164">
        <v>6</v>
      </c>
      <c r="G164" s="4">
        <f t="shared" si="18"/>
        <v>1704.9410313703384</v>
      </c>
      <c r="H164" s="1">
        <f t="shared" si="13"/>
        <v>856.30281293014423</v>
      </c>
      <c r="I164" s="4">
        <f t="shared" si="14"/>
        <v>307963.20475603681</v>
      </c>
      <c r="K164" s="4">
        <f t="shared" si="15"/>
        <v>322884.70753271517</v>
      </c>
      <c r="L164" s="4">
        <f t="shared" si="16"/>
        <v>92036.795243963046</v>
      </c>
      <c r="M164" s="4">
        <f t="shared" si="17"/>
        <v>414921.50277667819</v>
      </c>
    </row>
    <row r="165" spans="5:13" thickTop="1" thickBot="1" x14ac:dyDescent="0.3">
      <c r="F165">
        <v>7</v>
      </c>
      <c r="G165" s="4">
        <f t="shared" si="18"/>
        <v>1700.2135262572865</v>
      </c>
      <c r="H165" s="1">
        <f t="shared" si="13"/>
        <v>861.03031804319608</v>
      </c>
      <c r="I165" s="4">
        <f t="shared" si="14"/>
        <v>307102.17443799361</v>
      </c>
      <c r="K165" s="4">
        <f t="shared" si="15"/>
        <v>324584.92105897248</v>
      </c>
      <c r="L165" s="4">
        <f t="shared" si="16"/>
        <v>92897.825562006241</v>
      </c>
      <c r="M165" s="4">
        <f t="shared" si="17"/>
        <v>417482.74662097869</v>
      </c>
    </row>
    <row r="166" spans="5:13" thickTop="1" thickBot="1" x14ac:dyDescent="0.3">
      <c r="F166">
        <v>8</v>
      </c>
      <c r="G166" s="4">
        <f t="shared" si="18"/>
        <v>1695.4599213764232</v>
      </c>
      <c r="H166" s="1">
        <f t="shared" si="13"/>
        <v>865.78392292405942</v>
      </c>
      <c r="I166" s="4">
        <f t="shared" si="14"/>
        <v>306236.39051506954</v>
      </c>
      <c r="K166" s="4">
        <f t="shared" si="15"/>
        <v>326280.38098034891</v>
      </c>
      <c r="L166" s="4">
        <f t="shared" si="16"/>
        <v>93763.609484930304</v>
      </c>
      <c r="M166" s="4">
        <f t="shared" si="17"/>
        <v>420043.9904652792</v>
      </c>
    </row>
    <row r="167" spans="5:13" thickTop="1" thickBot="1" x14ac:dyDescent="0.3">
      <c r="F167">
        <v>9</v>
      </c>
      <c r="G167" s="4">
        <f t="shared" si="18"/>
        <v>1690.6800726352797</v>
      </c>
      <c r="H167" s="1">
        <f t="shared" si="13"/>
        <v>870.56377166520292</v>
      </c>
      <c r="I167" s="4">
        <f t="shared" si="14"/>
        <v>305365.82674340432</v>
      </c>
      <c r="K167" s="4">
        <f t="shared" si="15"/>
        <v>327971.06105298421</v>
      </c>
      <c r="L167" s="4">
        <f t="shared" si="16"/>
        <v>94634.173256595503</v>
      </c>
      <c r="M167" s="4">
        <f t="shared" si="17"/>
        <v>422605.23430957971</v>
      </c>
    </row>
    <row r="168" spans="5:13" thickTop="1" thickBot="1" x14ac:dyDescent="0.3">
      <c r="F168">
        <v>10</v>
      </c>
      <c r="G168" s="4">
        <f t="shared" si="18"/>
        <v>1685.873835145878</v>
      </c>
      <c r="H168" s="1">
        <f t="shared" si="13"/>
        <v>875.37000915460453</v>
      </c>
      <c r="I168" s="4">
        <f t="shared" si="14"/>
        <v>304490.45673424972</v>
      </c>
      <c r="K168" s="4">
        <f t="shared" si="15"/>
        <v>329656.93488813011</v>
      </c>
      <c r="L168" s="4">
        <f t="shared" si="16"/>
        <v>95509.543265750108</v>
      </c>
      <c r="M168" s="4">
        <f t="shared" si="17"/>
        <v>425166.47815388022</v>
      </c>
    </row>
    <row r="169" spans="5:13" thickTop="1" thickBot="1" x14ac:dyDescent="0.3">
      <c r="F169">
        <v>11</v>
      </c>
      <c r="G169" s="4">
        <f t="shared" si="18"/>
        <v>1681.0410632203373</v>
      </c>
      <c r="H169" s="1">
        <f t="shared" si="13"/>
        <v>880.20278108014531</v>
      </c>
      <c r="I169" s="4">
        <f t="shared" si="14"/>
        <v>303610.25395316957</v>
      </c>
      <c r="K169" s="4">
        <f t="shared" si="15"/>
        <v>331337.97595135047</v>
      </c>
      <c r="L169" s="4">
        <f t="shared" si="16"/>
        <v>96389.74604683026</v>
      </c>
      <c r="M169" s="4">
        <f t="shared" si="17"/>
        <v>427727.72199818073</v>
      </c>
    </row>
    <row r="170" spans="5:13" thickTop="1" thickBot="1" x14ac:dyDescent="0.3">
      <c r="F170">
        <v>12</v>
      </c>
      <c r="G170" s="4">
        <f t="shared" si="18"/>
        <v>1676.1816103664571</v>
      </c>
      <c r="H170" s="1">
        <f t="shared" si="13"/>
        <v>885.06223393402547</v>
      </c>
      <c r="I170" s="4">
        <f t="shared" si="14"/>
        <v>302725.19171923556</v>
      </c>
      <c r="K170" s="4">
        <f t="shared" si="15"/>
        <v>333014.15756171691</v>
      </c>
      <c r="L170" s="4">
        <f t="shared" si="16"/>
        <v>97274.808280764279</v>
      </c>
      <c r="M170" s="4">
        <f t="shared" si="17"/>
        <v>430288.96584248118</v>
      </c>
    </row>
    <row r="171" spans="5:13" thickTop="1" thickBot="1" x14ac:dyDescent="0.3">
      <c r="E171" t="s">
        <v>28</v>
      </c>
      <c r="F171">
        <v>1</v>
      </c>
      <c r="G171" s="4">
        <f t="shared" si="18"/>
        <v>1671.2953292832797</v>
      </c>
      <c r="H171" s="1">
        <f t="shared" si="13"/>
        <v>889.94851501720291</v>
      </c>
      <c r="I171" s="4">
        <f t="shared" si="14"/>
        <v>301835.24320421834</v>
      </c>
      <c r="K171" s="4">
        <f t="shared" si="15"/>
        <v>334685.4528910002</v>
      </c>
      <c r="L171" s="4">
        <f t="shared" si="16"/>
        <v>98164.756795781475</v>
      </c>
      <c r="M171" s="4">
        <f t="shared" si="17"/>
        <v>432850.20968678169</v>
      </c>
    </row>
    <row r="172" spans="5:13" thickTop="1" thickBot="1" x14ac:dyDescent="0.3">
      <c r="F172">
        <v>2</v>
      </c>
      <c r="G172" s="4">
        <f t="shared" si="18"/>
        <v>1666.3820718566221</v>
      </c>
      <c r="H172" s="1">
        <f t="shared" si="13"/>
        <v>894.86177244386045</v>
      </c>
      <c r="I172" s="4">
        <f t="shared" si="14"/>
        <v>300940.38143177447</v>
      </c>
      <c r="K172" s="4">
        <f t="shared" si="15"/>
        <v>336351.83496285684</v>
      </c>
      <c r="L172" s="4">
        <f t="shared" si="16"/>
        <v>99059.618568225342</v>
      </c>
      <c r="M172" s="4">
        <f t="shared" si="17"/>
        <v>435411.4535310822</v>
      </c>
    </row>
    <row r="173" spans="5:13" thickTop="1" thickBot="1" x14ac:dyDescent="0.3">
      <c r="F173">
        <v>3</v>
      </c>
      <c r="G173" s="4">
        <f t="shared" si="18"/>
        <v>1661.4416891545882</v>
      </c>
      <c r="H173" s="1">
        <f t="shared" si="13"/>
        <v>899.8021551458944</v>
      </c>
      <c r="I173" s="4">
        <f t="shared" si="14"/>
        <v>300040.57927662856</v>
      </c>
      <c r="K173" s="4">
        <f t="shared" si="15"/>
        <v>338013.27665201144</v>
      </c>
      <c r="L173" s="4">
        <f t="shared" si="16"/>
        <v>99959.420723371237</v>
      </c>
      <c r="M173" s="4">
        <f t="shared" si="17"/>
        <v>437972.69737538265</v>
      </c>
    </row>
    <row r="174" spans="5:13" thickTop="1" thickBot="1" x14ac:dyDescent="0.3">
      <c r="F174">
        <v>4</v>
      </c>
      <c r="G174" s="4">
        <f t="shared" si="18"/>
        <v>1656.4740314230537</v>
      </c>
      <c r="H174" s="1">
        <f t="shared" si="13"/>
        <v>904.76981287742888</v>
      </c>
      <c r="I174" s="4">
        <f t="shared" si="14"/>
        <v>299135.80946375115</v>
      </c>
      <c r="K174" s="4">
        <f t="shared" si="15"/>
        <v>339669.75068343448</v>
      </c>
      <c r="L174" s="4">
        <f t="shared" si="16"/>
        <v>100864.19053624867</v>
      </c>
      <c r="M174" s="4">
        <f t="shared" si="17"/>
        <v>440533.94121968315</v>
      </c>
    </row>
    <row r="175" spans="5:13" thickTop="1" thickBot="1" x14ac:dyDescent="0.3">
      <c r="F175">
        <v>5</v>
      </c>
      <c r="G175" s="4">
        <f t="shared" si="18"/>
        <v>1651.4789480811262</v>
      </c>
      <c r="H175" s="1">
        <f t="shared" si="13"/>
        <v>909.76489621935639</v>
      </c>
      <c r="I175" s="4">
        <f t="shared" si="14"/>
        <v>298226.04456753179</v>
      </c>
      <c r="K175" s="4">
        <f t="shared" si="15"/>
        <v>341321.22963151563</v>
      </c>
      <c r="L175" s="4">
        <f t="shared" si="16"/>
        <v>101773.95543246804</v>
      </c>
      <c r="M175" s="4">
        <f t="shared" si="17"/>
        <v>443095.18506398366</v>
      </c>
    </row>
    <row r="176" spans="5:13" thickTop="1" thickBot="1" x14ac:dyDescent="0.3">
      <c r="F176">
        <v>6</v>
      </c>
      <c r="G176" s="4">
        <f t="shared" si="18"/>
        <v>1646.4562877165818</v>
      </c>
      <c r="H176" s="1">
        <f t="shared" si="13"/>
        <v>914.78755658390082</v>
      </c>
      <c r="I176" s="4">
        <f t="shared" si="14"/>
        <v>297311.25701094791</v>
      </c>
      <c r="K176" s="4">
        <f t="shared" si="15"/>
        <v>342967.6859192322</v>
      </c>
      <c r="L176" s="4">
        <f t="shared" si="16"/>
        <v>102688.74298905194</v>
      </c>
      <c r="M176" s="4">
        <f t="shared" si="17"/>
        <v>445656.42890828417</v>
      </c>
    </row>
    <row r="177" spans="5:13" thickTop="1" thickBot="1" x14ac:dyDescent="0.3">
      <c r="F177">
        <v>7</v>
      </c>
      <c r="G177" s="4">
        <f t="shared" si="18"/>
        <v>1641.4058980812752</v>
      </c>
      <c r="H177" s="1">
        <f t="shared" si="13"/>
        <v>919.83794621920742</v>
      </c>
      <c r="I177" s="4">
        <f t="shared" si="14"/>
        <v>296391.41906472872</v>
      </c>
      <c r="K177" s="4">
        <f t="shared" si="15"/>
        <v>344609.09181731346</v>
      </c>
      <c r="L177" s="4">
        <f t="shared" si="16"/>
        <v>103608.58093527115</v>
      </c>
      <c r="M177" s="4">
        <f t="shared" si="17"/>
        <v>448217.67275258462</v>
      </c>
    </row>
    <row r="178" spans="5:13" thickTop="1" thickBot="1" x14ac:dyDescent="0.3">
      <c r="F178">
        <v>8</v>
      </c>
      <c r="G178" s="4">
        <f t="shared" si="18"/>
        <v>1636.3276260865232</v>
      </c>
      <c r="H178" s="1">
        <f t="shared" si="13"/>
        <v>924.91621821395938</v>
      </c>
      <c r="I178" s="4">
        <f t="shared" si="14"/>
        <v>295466.50284651475</v>
      </c>
      <c r="K178" s="4">
        <f t="shared" si="15"/>
        <v>346245.41944339999</v>
      </c>
      <c r="L178" s="4">
        <f t="shared" si="16"/>
        <v>104533.49715348511</v>
      </c>
      <c r="M178" s="4">
        <f t="shared" si="17"/>
        <v>450778.91659688507</v>
      </c>
    </row>
    <row r="179" spans="5:13" thickTop="1" thickBot="1" x14ac:dyDescent="0.3">
      <c r="F179">
        <v>9</v>
      </c>
      <c r="G179" s="4">
        <f t="shared" si="18"/>
        <v>1631.2213177984668</v>
      </c>
      <c r="H179" s="1">
        <f t="shared" si="13"/>
        <v>930.02252650201581</v>
      </c>
      <c r="I179" s="4">
        <f t="shared" si="14"/>
        <v>294536.48032001272</v>
      </c>
      <c r="K179" s="4">
        <f t="shared" si="15"/>
        <v>347876.64076119848</v>
      </c>
      <c r="L179" s="4">
        <f t="shared" si="16"/>
        <v>105463.51967998712</v>
      </c>
      <c r="M179" s="4">
        <f t="shared" si="17"/>
        <v>453340.16044118558</v>
      </c>
    </row>
    <row r="180" spans="5:13" thickTop="1" thickBot="1" x14ac:dyDescent="0.3">
      <c r="F180">
        <v>10</v>
      </c>
      <c r="G180" s="4">
        <f t="shared" si="18"/>
        <v>1626.0868184334038</v>
      </c>
      <c r="H180" s="1">
        <f t="shared" si="13"/>
        <v>935.1570258670788</v>
      </c>
      <c r="I180" s="4">
        <f t="shared" si="14"/>
        <v>293601.32329414564</v>
      </c>
      <c r="K180" s="4">
        <f t="shared" si="15"/>
        <v>349502.7275796319</v>
      </c>
      <c r="L180" s="4">
        <f t="shared" si="16"/>
        <v>106398.6767058542</v>
      </c>
      <c r="M180" s="4">
        <f t="shared" si="17"/>
        <v>455901.40428548609</v>
      </c>
    </row>
    <row r="181" spans="5:13" thickTop="1" thickBot="1" x14ac:dyDescent="0.3">
      <c r="F181">
        <v>11</v>
      </c>
      <c r="G181" s="4">
        <f t="shared" si="18"/>
        <v>1620.9239723530957</v>
      </c>
      <c r="H181" s="1">
        <f t="shared" si="13"/>
        <v>940.3198719473869</v>
      </c>
      <c r="I181" s="4">
        <f t="shared" si="14"/>
        <v>292661.00342219824</v>
      </c>
      <c r="K181" s="4">
        <f t="shared" si="15"/>
        <v>351123.65155198501</v>
      </c>
      <c r="L181" s="4">
        <f t="shared" si="16"/>
        <v>107338.99657780159</v>
      </c>
      <c r="M181" s="4">
        <f t="shared" si="17"/>
        <v>458462.6481297866</v>
      </c>
    </row>
    <row r="182" spans="5:13" thickTop="1" thickBot="1" x14ac:dyDescent="0.3">
      <c r="F182">
        <v>12</v>
      </c>
      <c r="G182" s="4">
        <f t="shared" si="18"/>
        <v>1615.7326230600529</v>
      </c>
      <c r="H182" s="1">
        <f t="shared" si="13"/>
        <v>945.51122124042968</v>
      </c>
      <c r="I182" s="4">
        <f t="shared" si="14"/>
        <v>291715.49220095779</v>
      </c>
      <c r="K182" s="4">
        <f t="shared" si="15"/>
        <v>352739.38417504507</v>
      </c>
      <c r="L182" s="4">
        <f t="shared" si="16"/>
        <v>108284.50779904202</v>
      </c>
      <c r="M182" s="4">
        <f t="shared" si="17"/>
        <v>461023.89197408711</v>
      </c>
    </row>
    <row r="183" spans="5:13" thickTop="1" thickBot="1" x14ac:dyDescent="0.3">
      <c r="E183" t="s">
        <v>30</v>
      </c>
      <c r="F183">
        <v>1</v>
      </c>
      <c r="G183" s="4">
        <f t="shared" ref="G183:G246" si="19">I182*$B$3/12</f>
        <v>1610.512613192788</v>
      </c>
      <c r="H183" s="1">
        <f t="shared" si="13"/>
        <v>950.73123110769461</v>
      </c>
      <c r="I183" s="4">
        <f t="shared" si="14"/>
        <v>290764.76096985012</v>
      </c>
      <c r="K183" s="4">
        <f t="shared" si="15"/>
        <v>354349.89678823785</v>
      </c>
      <c r="L183" s="4">
        <f t="shared" si="16"/>
        <v>109235.23903014972</v>
      </c>
      <c r="M183" s="4">
        <f t="shared" si="17"/>
        <v>463585.13581838756</v>
      </c>
    </row>
    <row r="184" spans="5:13" thickTop="1" thickBot="1" x14ac:dyDescent="0.3">
      <c r="F184">
        <v>2</v>
      </c>
      <c r="G184" s="4">
        <f t="shared" si="19"/>
        <v>1605.2637845210477</v>
      </c>
      <c r="H184" s="1">
        <f t="shared" si="13"/>
        <v>955.9800597794349</v>
      </c>
      <c r="I184" s="4">
        <f t="shared" si="14"/>
        <v>289808.78091007069</v>
      </c>
      <c r="K184" s="4">
        <f t="shared" si="15"/>
        <v>355955.16057275888</v>
      </c>
      <c r="L184" s="4">
        <f t="shared" si="16"/>
        <v>110191.21908992916</v>
      </c>
      <c r="M184" s="4">
        <f t="shared" si="17"/>
        <v>466146.37966268801</v>
      </c>
    </row>
    <row r="185" spans="5:13" thickTop="1" thickBot="1" x14ac:dyDescent="0.3">
      <c r="F185">
        <v>3</v>
      </c>
      <c r="G185" s="4">
        <f t="shared" si="19"/>
        <v>1599.9859779410153</v>
      </c>
      <c r="H185" s="1">
        <f t="shared" si="13"/>
        <v>961.25786635946724</v>
      </c>
      <c r="I185" s="4">
        <f t="shared" si="14"/>
        <v>288847.5230437112</v>
      </c>
      <c r="K185" s="4">
        <f t="shared" si="15"/>
        <v>357555.14655069989</v>
      </c>
      <c r="L185" s="4">
        <f t="shared" si="16"/>
        <v>111152.47695628862</v>
      </c>
      <c r="M185" s="4">
        <f t="shared" si="17"/>
        <v>468707.62350698852</v>
      </c>
    </row>
    <row r="186" spans="5:13" thickTop="1" thickBot="1" x14ac:dyDescent="0.3">
      <c r="F186">
        <v>4</v>
      </c>
      <c r="G186" s="4">
        <f t="shared" si="19"/>
        <v>1594.679033470489</v>
      </c>
      <c r="H186" s="1">
        <f t="shared" si="13"/>
        <v>966.56481082999358</v>
      </c>
      <c r="I186" s="4">
        <f t="shared" si="14"/>
        <v>287880.95823288121</v>
      </c>
      <c r="K186" s="4">
        <f t="shared" si="15"/>
        <v>359149.82558417041</v>
      </c>
      <c r="L186" s="4">
        <f t="shared" si="16"/>
        <v>112119.04176711862</v>
      </c>
      <c r="M186" s="4">
        <f t="shared" si="17"/>
        <v>471268.86735128902</v>
      </c>
    </row>
    <row r="187" spans="5:13" thickTop="1" thickBot="1" x14ac:dyDescent="0.3">
      <c r="F187">
        <v>5</v>
      </c>
      <c r="G187" s="4">
        <f t="shared" si="19"/>
        <v>1589.3427902440317</v>
      </c>
      <c r="H187" s="1">
        <f t="shared" si="13"/>
        <v>971.9010540564509</v>
      </c>
      <c r="I187" s="4">
        <f t="shared" si="14"/>
        <v>286909.05717882473</v>
      </c>
      <c r="K187" s="4">
        <f t="shared" si="15"/>
        <v>360739.16837441444</v>
      </c>
      <c r="L187" s="4">
        <f t="shared" si="16"/>
        <v>113090.94282117506</v>
      </c>
      <c r="M187" s="4">
        <f t="shared" si="17"/>
        <v>473830.11119558953</v>
      </c>
    </row>
    <row r="188" spans="5:13" thickTop="1" thickBot="1" x14ac:dyDescent="0.3">
      <c r="F188">
        <v>6</v>
      </c>
      <c r="G188" s="4">
        <f t="shared" si="19"/>
        <v>1583.9770865080948</v>
      </c>
      <c r="H188" s="1">
        <f t="shared" si="13"/>
        <v>977.26675779238781</v>
      </c>
      <c r="I188" s="4">
        <f t="shared" si="14"/>
        <v>285931.79042103235</v>
      </c>
      <c r="K188" s="4">
        <f t="shared" si="15"/>
        <v>362323.14546092256</v>
      </c>
      <c r="L188" s="4">
        <f t="shared" si="16"/>
        <v>114068.20957896745</v>
      </c>
      <c r="M188" s="4">
        <f t="shared" si="17"/>
        <v>476391.35503989004</v>
      </c>
    </row>
    <row r="189" spans="5:13" thickTop="1" thickBot="1" x14ac:dyDescent="0.3">
      <c r="F189">
        <v>7</v>
      </c>
      <c r="G189" s="4">
        <f t="shared" si="19"/>
        <v>1578.5817596161162</v>
      </c>
      <c r="H189" s="1">
        <f t="shared" si="13"/>
        <v>982.66208468436639</v>
      </c>
      <c r="I189" s="4">
        <f t="shared" si="14"/>
        <v>284949.12833634799</v>
      </c>
      <c r="K189" s="4">
        <f t="shared" si="15"/>
        <v>363901.72722053865</v>
      </c>
      <c r="L189" s="4">
        <f t="shared" si="16"/>
        <v>115050.87166365182</v>
      </c>
      <c r="M189" s="4">
        <f t="shared" si="17"/>
        <v>478952.59888419049</v>
      </c>
    </row>
    <row r="190" spans="5:13" thickTop="1" thickBot="1" x14ac:dyDescent="0.3">
      <c r="F190">
        <v>8</v>
      </c>
      <c r="G190" s="4">
        <f t="shared" si="19"/>
        <v>1573.1566460235879</v>
      </c>
      <c r="H190" s="1">
        <f t="shared" si="13"/>
        <v>988.0871982768947</v>
      </c>
      <c r="I190" s="4">
        <f t="shared" si="14"/>
        <v>283961.0411380711</v>
      </c>
      <c r="K190" s="4">
        <f t="shared" si="15"/>
        <v>365474.88386656222</v>
      </c>
      <c r="L190" s="4">
        <f t="shared" si="16"/>
        <v>116038.95886192871</v>
      </c>
      <c r="M190" s="4">
        <f t="shared" si="17"/>
        <v>481513.84272849094</v>
      </c>
    </row>
    <row r="191" spans="5:13" thickTop="1" thickBot="1" x14ac:dyDescent="0.3">
      <c r="F191">
        <v>9</v>
      </c>
      <c r="G191" s="4">
        <f t="shared" si="19"/>
        <v>1567.7015812831007</v>
      </c>
      <c r="H191" s="1">
        <f t="shared" si="13"/>
        <v>993.54226301738186</v>
      </c>
      <c r="I191" s="4">
        <f t="shared" si="14"/>
        <v>282967.49887505372</v>
      </c>
      <c r="K191" s="4">
        <f t="shared" si="15"/>
        <v>367042.58544784534</v>
      </c>
      <c r="L191" s="4">
        <f t="shared" si="16"/>
        <v>117032.50112494609</v>
      </c>
      <c r="M191" s="4">
        <f t="shared" si="17"/>
        <v>484075.08657279145</v>
      </c>
    </row>
    <row r="192" spans="5:13" thickTop="1" thickBot="1" x14ac:dyDescent="0.3">
      <c r="F192">
        <v>10</v>
      </c>
      <c r="G192" s="4">
        <f t="shared" si="19"/>
        <v>1562.2164000393593</v>
      </c>
      <c r="H192" s="1">
        <f t="shared" si="13"/>
        <v>999.02744426112326</v>
      </c>
      <c r="I192" s="4">
        <f t="shared" si="14"/>
        <v>281968.47143079259</v>
      </c>
      <c r="K192" s="4">
        <f t="shared" si="15"/>
        <v>368604.80184788472</v>
      </c>
      <c r="L192" s="4">
        <f t="shared" si="16"/>
        <v>118031.52856920722</v>
      </c>
      <c r="M192" s="4">
        <f t="shared" si="17"/>
        <v>486636.33041709196</v>
      </c>
    </row>
    <row r="193" spans="5:13" thickTop="1" thickBot="1" x14ac:dyDescent="0.3">
      <c r="F193">
        <v>11</v>
      </c>
      <c r="G193" s="4">
        <f t="shared" si="19"/>
        <v>1556.7009360241675</v>
      </c>
      <c r="H193" s="1">
        <f t="shared" si="13"/>
        <v>1004.5429082763151</v>
      </c>
      <c r="I193" s="4">
        <f t="shared" si="14"/>
        <v>280963.92852251627</v>
      </c>
      <c r="K193" s="4">
        <f t="shared" si="15"/>
        <v>370161.50278390892</v>
      </c>
      <c r="L193" s="4">
        <f t="shared" si="16"/>
        <v>119036.07147748354</v>
      </c>
      <c r="M193" s="4">
        <f t="shared" si="17"/>
        <v>489197.57426139247</v>
      </c>
    </row>
    <row r="194" spans="5:13" thickTop="1" thickBot="1" x14ac:dyDescent="0.3">
      <c r="F194">
        <v>12</v>
      </c>
      <c r="G194" s="4">
        <f t="shared" si="19"/>
        <v>1551.1550220513921</v>
      </c>
      <c r="H194" s="1">
        <f t="shared" si="13"/>
        <v>1010.0888222490905</v>
      </c>
      <c r="I194" s="4">
        <f t="shared" si="14"/>
        <v>279953.83970026718</v>
      </c>
      <c r="K194" s="4">
        <f t="shared" si="15"/>
        <v>371712.65780596033</v>
      </c>
      <c r="L194" s="4">
        <f t="shared" si="16"/>
        <v>120046.16029973263</v>
      </c>
      <c r="M194" s="4">
        <f t="shared" si="17"/>
        <v>491758.81810569298</v>
      </c>
    </row>
    <row r="195" spans="5:13" thickTop="1" thickBot="1" x14ac:dyDescent="0.3">
      <c r="E195" t="s">
        <v>31</v>
      </c>
      <c r="F195">
        <v>1</v>
      </c>
      <c r="G195" s="4">
        <f t="shared" si="19"/>
        <v>1545.5784900118917</v>
      </c>
      <c r="H195" s="1">
        <f t="shared" si="13"/>
        <v>1015.6653542885908</v>
      </c>
      <c r="I195" s="4">
        <f t="shared" si="14"/>
        <v>278938.17434597859</v>
      </c>
      <c r="K195" s="4">
        <f t="shared" si="15"/>
        <v>373258.23629597225</v>
      </c>
      <c r="L195" s="4">
        <f t="shared" si="16"/>
        <v>121061.82565402122</v>
      </c>
      <c r="M195" s="4">
        <f t="shared" si="17"/>
        <v>494320.06194999348</v>
      </c>
    </row>
    <row r="196" spans="5:13" thickTop="1" thickBot="1" x14ac:dyDescent="0.3">
      <c r="F196">
        <v>2</v>
      </c>
      <c r="G196" s="4">
        <f t="shared" si="19"/>
        <v>1539.9711708684235</v>
      </c>
      <c r="H196" s="1">
        <f t="shared" ref="H196:H259" si="20">IF($B$5+$B$6&gt;=I195+G196, I195, ($B$5+$B$6)-G196)</f>
        <v>1021.272673432059</v>
      </c>
      <c r="I196" s="4">
        <f t="shared" si="14"/>
        <v>277916.90167254652</v>
      </c>
      <c r="K196" s="4">
        <f t="shared" si="15"/>
        <v>374798.20746684069</v>
      </c>
      <c r="L196" s="4">
        <f t="shared" si="16"/>
        <v>122083.09832745328</v>
      </c>
      <c r="M196" s="4">
        <f t="shared" si="17"/>
        <v>496881.30579429399</v>
      </c>
    </row>
    <row r="197" spans="5:13" thickTop="1" thickBot="1" x14ac:dyDescent="0.3">
      <c r="F197">
        <v>3</v>
      </c>
      <c r="G197" s="4">
        <f t="shared" si="19"/>
        <v>1534.3328946505173</v>
      </c>
      <c r="H197" s="1">
        <f t="shared" si="20"/>
        <v>1026.9109496499652</v>
      </c>
      <c r="I197" s="4">
        <f t="shared" ref="I197:I260" si="21">MAX(I196-H197, 0)</f>
        <v>276889.99072289653</v>
      </c>
      <c r="K197" s="4">
        <f t="shared" ref="K197:K260" si="22">G197+K196</f>
        <v>376332.54036149121</v>
      </c>
      <c r="L197" s="4">
        <f t="shared" ref="L197:L260" si="23">H197+L196</f>
        <v>123110.00927710324</v>
      </c>
      <c r="M197" s="4">
        <f t="shared" ref="M197:M260" si="24">L197+K197</f>
        <v>499442.54963859444</v>
      </c>
    </row>
    <row r="198" spans="5:13" thickTop="1" thickBot="1" x14ac:dyDescent="0.3">
      <c r="F198">
        <v>4</v>
      </c>
      <c r="G198" s="4">
        <f t="shared" si="19"/>
        <v>1528.6634904493246</v>
      </c>
      <c r="H198" s="1">
        <f t="shared" si="20"/>
        <v>1032.580353851158</v>
      </c>
      <c r="I198" s="4">
        <f t="shared" si="21"/>
        <v>275857.41036904539</v>
      </c>
      <c r="K198" s="4">
        <f t="shared" si="22"/>
        <v>377861.20385194052</v>
      </c>
      <c r="L198" s="4">
        <f t="shared" si="23"/>
        <v>124142.58963095439</v>
      </c>
      <c r="M198" s="4">
        <f t="shared" si="24"/>
        <v>502003.79348289489</v>
      </c>
    </row>
    <row r="199" spans="5:13" thickTop="1" thickBot="1" x14ac:dyDescent="0.3">
      <c r="F199">
        <v>5</v>
      </c>
      <c r="G199" s="4">
        <f t="shared" si="19"/>
        <v>1522.9627864124384</v>
      </c>
      <c r="H199" s="1">
        <f t="shared" si="20"/>
        <v>1038.2810578880442</v>
      </c>
      <c r="I199" s="4">
        <f t="shared" si="21"/>
        <v>274819.12931115733</v>
      </c>
      <c r="K199" s="4">
        <f t="shared" si="22"/>
        <v>379384.16663835297</v>
      </c>
      <c r="L199" s="4">
        <f t="shared" si="23"/>
        <v>125180.87068884243</v>
      </c>
      <c r="M199" s="4">
        <f t="shared" si="24"/>
        <v>504565.0373271954</v>
      </c>
    </row>
    <row r="200" spans="5:13" thickTop="1" thickBot="1" x14ac:dyDescent="0.3">
      <c r="F200">
        <v>6</v>
      </c>
      <c r="G200" s="4">
        <f t="shared" si="19"/>
        <v>1517.2306097386811</v>
      </c>
      <c r="H200" s="1">
        <f t="shared" si="20"/>
        <v>1044.0132345618015</v>
      </c>
      <c r="I200" s="4">
        <f t="shared" si="21"/>
        <v>273775.11607659556</v>
      </c>
      <c r="K200" s="4">
        <f t="shared" si="22"/>
        <v>380901.39724809164</v>
      </c>
      <c r="L200" s="4">
        <f t="shared" si="23"/>
        <v>126224.88392340424</v>
      </c>
      <c r="M200" s="4">
        <f t="shared" si="24"/>
        <v>507126.28117149591</v>
      </c>
    </row>
    <row r="201" spans="5:13" thickTop="1" thickBot="1" x14ac:dyDescent="0.3">
      <c r="F201">
        <v>7</v>
      </c>
      <c r="G201" s="4">
        <f t="shared" si="19"/>
        <v>1511.4667866728714</v>
      </c>
      <c r="H201" s="1">
        <f t="shared" si="20"/>
        <v>1049.7770576276112</v>
      </c>
      <c r="I201" s="4">
        <f t="shared" si="21"/>
        <v>272725.33901896793</v>
      </c>
      <c r="K201" s="4">
        <f t="shared" si="22"/>
        <v>382412.86403476453</v>
      </c>
      <c r="L201" s="4">
        <f t="shared" si="23"/>
        <v>127274.66098103185</v>
      </c>
      <c r="M201" s="4">
        <f t="shared" si="24"/>
        <v>509687.52501579636</v>
      </c>
    </row>
    <row r="202" spans="5:13" thickTop="1" thickBot="1" x14ac:dyDescent="0.3">
      <c r="F202">
        <v>8</v>
      </c>
      <c r="G202" s="4">
        <f t="shared" si="19"/>
        <v>1505.6711425005522</v>
      </c>
      <c r="H202" s="1">
        <f t="shared" si="20"/>
        <v>1055.5727017999304</v>
      </c>
      <c r="I202" s="4">
        <f t="shared" si="21"/>
        <v>271669.76631716802</v>
      </c>
      <c r="K202" s="4">
        <f t="shared" si="22"/>
        <v>383918.53517726506</v>
      </c>
      <c r="L202" s="4">
        <f t="shared" si="23"/>
        <v>128330.23368283178</v>
      </c>
      <c r="M202" s="4">
        <f t="shared" si="24"/>
        <v>512248.76886009681</v>
      </c>
    </row>
    <row r="203" spans="5:13" thickTop="1" thickBot="1" x14ac:dyDescent="0.3">
      <c r="F203">
        <v>9</v>
      </c>
      <c r="G203" s="4">
        <f t="shared" si="19"/>
        <v>1499.8435015426985</v>
      </c>
      <c r="H203" s="1">
        <f t="shared" si="20"/>
        <v>1061.4003427577841</v>
      </c>
      <c r="I203" s="4">
        <f t="shared" si="21"/>
        <v>270608.36597441026</v>
      </c>
      <c r="K203" s="4">
        <f t="shared" si="22"/>
        <v>385418.37867880776</v>
      </c>
      <c r="L203" s="4">
        <f t="shared" si="23"/>
        <v>129391.63402558956</v>
      </c>
      <c r="M203" s="4">
        <f t="shared" si="24"/>
        <v>514810.01270439732</v>
      </c>
    </row>
    <row r="204" spans="5:13" thickTop="1" thickBot="1" x14ac:dyDescent="0.3">
      <c r="F204">
        <v>10</v>
      </c>
      <c r="G204" s="4">
        <f t="shared" si="19"/>
        <v>1493.9836871503901</v>
      </c>
      <c r="H204" s="1">
        <f t="shared" si="20"/>
        <v>1067.2601571500925</v>
      </c>
      <c r="I204" s="4">
        <f t="shared" si="21"/>
        <v>269541.10581726016</v>
      </c>
      <c r="K204" s="4">
        <f t="shared" si="22"/>
        <v>386912.36236595816</v>
      </c>
      <c r="L204" s="4">
        <f t="shared" si="23"/>
        <v>130458.89418273965</v>
      </c>
      <c r="M204" s="4">
        <f t="shared" si="24"/>
        <v>517371.25654869783</v>
      </c>
    </row>
    <row r="205" spans="5:13" thickTop="1" thickBot="1" x14ac:dyDescent="0.3">
      <c r="F205">
        <v>11</v>
      </c>
      <c r="G205" s="4">
        <f t="shared" si="19"/>
        <v>1488.0915216994572</v>
      </c>
      <c r="H205" s="1">
        <f t="shared" si="20"/>
        <v>1073.1523226010254</v>
      </c>
      <c r="I205" s="4">
        <f t="shared" si="21"/>
        <v>268467.95349465916</v>
      </c>
      <c r="K205" s="4">
        <f t="shared" si="22"/>
        <v>388400.45388765761</v>
      </c>
      <c r="L205" s="4">
        <f t="shared" si="23"/>
        <v>131532.04650534067</v>
      </c>
      <c r="M205" s="4">
        <f t="shared" si="24"/>
        <v>519932.50039299828</v>
      </c>
    </row>
    <row r="206" spans="5:13" thickTop="1" thickBot="1" x14ac:dyDescent="0.3">
      <c r="F206">
        <v>12</v>
      </c>
      <c r="G206" s="4">
        <f t="shared" si="19"/>
        <v>1482.1668265850976</v>
      </c>
      <c r="H206" s="1">
        <f t="shared" si="20"/>
        <v>1079.077017715385</v>
      </c>
      <c r="I206" s="4">
        <f t="shared" si="21"/>
        <v>267388.87647694378</v>
      </c>
      <c r="K206" s="4">
        <f t="shared" si="22"/>
        <v>389882.62071424269</v>
      </c>
      <c r="L206" s="4">
        <f t="shared" si="23"/>
        <v>132611.12352305604</v>
      </c>
      <c r="M206" s="4">
        <f t="shared" si="24"/>
        <v>522493.74423729873</v>
      </c>
    </row>
    <row r="207" spans="5:13" thickTop="1" thickBot="1" x14ac:dyDescent="0.3">
      <c r="E207" t="s">
        <v>32</v>
      </c>
      <c r="F207">
        <v>1</v>
      </c>
      <c r="G207" s="4">
        <f t="shared" si="19"/>
        <v>1476.2094222164606</v>
      </c>
      <c r="H207" s="1">
        <f t="shared" si="20"/>
        <v>1085.034422084022</v>
      </c>
      <c r="I207" s="4">
        <f t="shared" si="21"/>
        <v>266303.84205485974</v>
      </c>
      <c r="K207" s="4">
        <f t="shared" si="22"/>
        <v>391358.83013645915</v>
      </c>
      <c r="L207" s="4">
        <f t="shared" si="23"/>
        <v>133696.15794514006</v>
      </c>
      <c r="M207" s="4">
        <f t="shared" si="24"/>
        <v>525054.98808159924</v>
      </c>
    </row>
    <row r="208" spans="5:13" thickTop="1" thickBot="1" x14ac:dyDescent="0.3">
      <c r="F208">
        <v>2</v>
      </c>
      <c r="G208" s="4">
        <f t="shared" si="19"/>
        <v>1470.2191280112049</v>
      </c>
      <c r="H208" s="1">
        <f t="shared" si="20"/>
        <v>1091.0247162892776</v>
      </c>
      <c r="I208" s="4">
        <f t="shared" si="21"/>
        <v>265212.81733857043</v>
      </c>
      <c r="K208" s="4">
        <f t="shared" si="22"/>
        <v>392829.04926447035</v>
      </c>
      <c r="L208" s="4">
        <f t="shared" si="23"/>
        <v>134787.18266142934</v>
      </c>
      <c r="M208" s="4">
        <f t="shared" si="24"/>
        <v>527616.23192589963</v>
      </c>
    </row>
    <row r="209" spans="5:13" thickTop="1" thickBot="1" x14ac:dyDescent="0.3">
      <c r="F209">
        <v>3</v>
      </c>
      <c r="G209" s="4">
        <f t="shared" si="19"/>
        <v>1464.1957623900244</v>
      </c>
      <c r="H209" s="1">
        <f t="shared" si="20"/>
        <v>1097.0480819104582</v>
      </c>
      <c r="I209" s="4">
        <f t="shared" si="21"/>
        <v>264115.76925665996</v>
      </c>
      <c r="K209" s="4">
        <f t="shared" si="22"/>
        <v>394293.24502686039</v>
      </c>
      <c r="L209" s="4">
        <f t="shared" si="23"/>
        <v>135884.23074333981</v>
      </c>
      <c r="M209" s="4">
        <f t="shared" si="24"/>
        <v>530177.47577020014</v>
      </c>
    </row>
    <row r="210" spans="5:13" thickTop="1" thickBot="1" x14ac:dyDescent="0.3">
      <c r="F210">
        <v>4</v>
      </c>
      <c r="G210" s="4">
        <f t="shared" si="19"/>
        <v>1458.1391427711435</v>
      </c>
      <c r="H210" s="1">
        <f t="shared" si="20"/>
        <v>1103.1047015293391</v>
      </c>
      <c r="I210" s="4">
        <f t="shared" si="21"/>
        <v>263012.66455513064</v>
      </c>
      <c r="K210" s="4">
        <f t="shared" si="22"/>
        <v>395751.38416963152</v>
      </c>
      <c r="L210" s="4">
        <f t="shared" si="23"/>
        <v>136987.33544486915</v>
      </c>
      <c r="M210" s="4">
        <f t="shared" si="24"/>
        <v>532738.71961450065</v>
      </c>
    </row>
    <row r="211" spans="5:13" thickTop="1" thickBot="1" x14ac:dyDescent="0.3">
      <c r="F211">
        <v>5</v>
      </c>
      <c r="G211" s="4">
        <f t="shared" si="19"/>
        <v>1452.0490855647838</v>
      </c>
      <c r="H211" s="1">
        <f t="shared" si="20"/>
        <v>1109.1947587356988</v>
      </c>
      <c r="I211" s="4">
        <f t="shared" si="21"/>
        <v>261903.46979639496</v>
      </c>
      <c r="K211" s="4">
        <f t="shared" si="22"/>
        <v>397203.43325519632</v>
      </c>
      <c r="L211" s="4">
        <f t="shared" si="23"/>
        <v>138096.53020360484</v>
      </c>
      <c r="M211" s="4">
        <f t="shared" si="24"/>
        <v>535299.96345880115</v>
      </c>
    </row>
    <row r="212" spans="5:13" thickTop="1" thickBot="1" x14ac:dyDescent="0.3">
      <c r="F212">
        <v>6</v>
      </c>
      <c r="G212" s="4">
        <f t="shared" si="19"/>
        <v>1445.9254061675972</v>
      </c>
      <c r="H212" s="1">
        <f t="shared" si="20"/>
        <v>1115.3184381328854</v>
      </c>
      <c r="I212" s="4">
        <f t="shared" si="21"/>
        <v>260788.15135826208</v>
      </c>
      <c r="K212" s="4">
        <f t="shared" si="22"/>
        <v>398649.35866136389</v>
      </c>
      <c r="L212" s="4">
        <f t="shared" si="23"/>
        <v>139211.84864173771</v>
      </c>
      <c r="M212" s="4">
        <f t="shared" si="24"/>
        <v>537861.20730310166</v>
      </c>
    </row>
    <row r="213" spans="5:13" thickTop="1" thickBot="1" x14ac:dyDescent="0.3">
      <c r="F213">
        <v>7</v>
      </c>
      <c r="G213" s="4">
        <f t="shared" si="19"/>
        <v>1439.767918957072</v>
      </c>
      <c r="H213" s="1">
        <f t="shared" si="20"/>
        <v>1121.4759253434106</v>
      </c>
      <c r="I213" s="4">
        <f t="shared" si="21"/>
        <v>259666.67543291868</v>
      </c>
      <c r="K213" s="4">
        <f t="shared" si="22"/>
        <v>400089.12658032094</v>
      </c>
      <c r="L213" s="4">
        <f t="shared" si="23"/>
        <v>140333.32456708112</v>
      </c>
      <c r="M213" s="4">
        <f t="shared" si="24"/>
        <v>540422.45114740205</v>
      </c>
    </row>
    <row r="214" spans="5:13" thickTop="1" thickBot="1" x14ac:dyDescent="0.3">
      <c r="F214">
        <v>8</v>
      </c>
      <c r="G214" s="4">
        <f t="shared" si="19"/>
        <v>1433.5764372859055</v>
      </c>
      <c r="H214" s="1">
        <f t="shared" si="20"/>
        <v>1127.6674070145771</v>
      </c>
      <c r="I214" s="4">
        <f t="shared" si="21"/>
        <v>258539.0080259041</v>
      </c>
      <c r="K214" s="4">
        <f t="shared" si="22"/>
        <v>401522.70301760687</v>
      </c>
      <c r="L214" s="4">
        <f t="shared" si="23"/>
        <v>141460.9919740957</v>
      </c>
      <c r="M214" s="4">
        <f t="shared" si="24"/>
        <v>542983.69499170256</v>
      </c>
    </row>
    <row r="215" spans="5:13" thickTop="1" thickBot="1" x14ac:dyDescent="0.3">
      <c r="F215">
        <v>9</v>
      </c>
      <c r="G215" s="4">
        <f t="shared" si="19"/>
        <v>1427.3507734763455</v>
      </c>
      <c r="H215" s="1">
        <f t="shared" si="20"/>
        <v>1133.8930708241371</v>
      </c>
      <c r="I215" s="4">
        <f t="shared" si="21"/>
        <v>257405.11495507997</v>
      </c>
      <c r="K215" s="4">
        <f t="shared" si="22"/>
        <v>402950.05379108322</v>
      </c>
      <c r="L215" s="4">
        <f t="shared" si="23"/>
        <v>142594.88504491982</v>
      </c>
      <c r="M215" s="4">
        <f t="shared" si="24"/>
        <v>545544.93883600307</v>
      </c>
    </row>
    <row r="216" spans="5:13" thickTop="1" thickBot="1" x14ac:dyDescent="0.3">
      <c r="F216">
        <v>10</v>
      </c>
      <c r="G216" s="4">
        <f t="shared" si="19"/>
        <v>1421.0907388145042</v>
      </c>
      <c r="H216" s="1">
        <f t="shared" si="20"/>
        <v>1140.1531054859784</v>
      </c>
      <c r="I216" s="4">
        <f t="shared" si="21"/>
        <v>256264.96184959399</v>
      </c>
      <c r="K216" s="4">
        <f t="shared" si="22"/>
        <v>404371.14452989772</v>
      </c>
      <c r="L216" s="4">
        <f t="shared" si="23"/>
        <v>143735.0381504058</v>
      </c>
      <c r="M216" s="4">
        <f t="shared" si="24"/>
        <v>548106.18268030346</v>
      </c>
    </row>
    <row r="217" spans="5:13" thickTop="1" thickBot="1" x14ac:dyDescent="0.3">
      <c r="F217">
        <v>11</v>
      </c>
      <c r="G217" s="4">
        <f t="shared" si="19"/>
        <v>1414.7961435446334</v>
      </c>
      <c r="H217" s="1">
        <f t="shared" si="20"/>
        <v>1146.4477007558492</v>
      </c>
      <c r="I217" s="4">
        <f t="shared" si="21"/>
        <v>255118.51414883815</v>
      </c>
      <c r="K217" s="4">
        <f t="shared" si="22"/>
        <v>405785.94067344232</v>
      </c>
      <c r="L217" s="4">
        <f t="shared" si="23"/>
        <v>144881.48585116165</v>
      </c>
      <c r="M217" s="4">
        <f t="shared" si="24"/>
        <v>550667.42652460397</v>
      </c>
    </row>
    <row r="218" spans="5:13" thickTop="1" thickBot="1" x14ac:dyDescent="0.3">
      <c r="F218">
        <v>12</v>
      </c>
      <c r="G218" s="4">
        <f t="shared" si="19"/>
        <v>1408.4667968633773</v>
      </c>
      <c r="H218" s="1">
        <f t="shared" si="20"/>
        <v>1152.7770474371052</v>
      </c>
      <c r="I218" s="4">
        <f t="shared" si="21"/>
        <v>253965.73710140106</v>
      </c>
      <c r="K218" s="4">
        <f t="shared" si="22"/>
        <v>407194.40747030568</v>
      </c>
      <c r="L218" s="4">
        <f t="shared" si="23"/>
        <v>146034.26289859874</v>
      </c>
      <c r="M218" s="4">
        <f t="shared" si="24"/>
        <v>553228.67036890448</v>
      </c>
    </row>
    <row r="219" spans="5:13" thickTop="1" thickBot="1" x14ac:dyDescent="0.3">
      <c r="E219" t="s">
        <v>33</v>
      </c>
      <c r="F219">
        <v>1</v>
      </c>
      <c r="G219" s="4">
        <f t="shared" si="19"/>
        <v>1402.1025069139851</v>
      </c>
      <c r="H219" s="1">
        <f t="shared" si="20"/>
        <v>1159.1413373864975</v>
      </c>
      <c r="I219" s="4">
        <f t="shared" si="21"/>
        <v>252806.59576401455</v>
      </c>
      <c r="K219" s="4">
        <f t="shared" si="22"/>
        <v>408596.50997721968</v>
      </c>
      <c r="L219" s="4">
        <f t="shared" si="23"/>
        <v>147193.40423598525</v>
      </c>
      <c r="M219" s="4">
        <f t="shared" si="24"/>
        <v>555789.91421320499</v>
      </c>
    </row>
    <row r="220" spans="5:13" thickTop="1" thickBot="1" x14ac:dyDescent="0.3">
      <c r="F220">
        <v>2</v>
      </c>
      <c r="G220" s="4">
        <f t="shared" si="19"/>
        <v>1395.703080780497</v>
      </c>
      <c r="H220" s="1">
        <f t="shared" si="20"/>
        <v>1165.5407635199856</v>
      </c>
      <c r="I220" s="4">
        <f t="shared" si="21"/>
        <v>251641.05500049455</v>
      </c>
      <c r="K220" s="4">
        <f t="shared" si="22"/>
        <v>409992.2130580002</v>
      </c>
      <c r="L220" s="4">
        <f t="shared" si="23"/>
        <v>148358.94499950524</v>
      </c>
      <c r="M220" s="4">
        <f t="shared" si="24"/>
        <v>558351.1580575055</v>
      </c>
    </row>
    <row r="221" spans="5:13" thickTop="1" thickBot="1" x14ac:dyDescent="0.3">
      <c r="F221">
        <v>3</v>
      </c>
      <c r="G221" s="4">
        <f t="shared" si="19"/>
        <v>1389.268324481897</v>
      </c>
      <c r="H221" s="1">
        <f t="shared" si="20"/>
        <v>1171.9755198185856</v>
      </c>
      <c r="I221" s="4">
        <f t="shared" si="21"/>
        <v>250469.07948067598</v>
      </c>
      <c r="K221" s="4">
        <f t="shared" si="22"/>
        <v>411381.4813824821</v>
      </c>
      <c r="L221" s="4">
        <f t="shared" si="23"/>
        <v>149530.92051932382</v>
      </c>
      <c r="M221" s="4">
        <f t="shared" si="24"/>
        <v>560912.40190180589</v>
      </c>
    </row>
    <row r="222" spans="5:13" thickTop="1" thickBot="1" x14ac:dyDescent="0.3">
      <c r="F222">
        <v>4</v>
      </c>
      <c r="G222" s="4">
        <f t="shared" si="19"/>
        <v>1382.7980429662321</v>
      </c>
      <c r="H222" s="1">
        <f t="shared" si="20"/>
        <v>1178.4458013342505</v>
      </c>
      <c r="I222" s="4">
        <f t="shared" si="21"/>
        <v>249290.63367934173</v>
      </c>
      <c r="K222" s="4">
        <f t="shared" si="22"/>
        <v>412764.27942544833</v>
      </c>
      <c r="L222" s="4">
        <f t="shared" si="23"/>
        <v>150709.36632065807</v>
      </c>
      <c r="M222" s="4">
        <f t="shared" si="24"/>
        <v>563473.6457461064</v>
      </c>
    </row>
    <row r="223" spans="5:13" thickTop="1" thickBot="1" x14ac:dyDescent="0.3">
      <c r="F223">
        <v>5</v>
      </c>
      <c r="G223" s="4">
        <f t="shared" si="19"/>
        <v>1376.2920401046993</v>
      </c>
      <c r="H223" s="1">
        <f t="shared" si="20"/>
        <v>1184.9518041957833</v>
      </c>
      <c r="I223" s="4">
        <f t="shared" si="21"/>
        <v>248105.68187514594</v>
      </c>
      <c r="K223" s="4">
        <f t="shared" si="22"/>
        <v>414140.57146555302</v>
      </c>
      <c r="L223" s="4">
        <f t="shared" si="23"/>
        <v>151894.31812485386</v>
      </c>
      <c r="M223" s="4">
        <f t="shared" si="24"/>
        <v>566034.88959040691</v>
      </c>
    </row>
    <row r="224" spans="5:13" thickTop="1" thickBot="1" x14ac:dyDescent="0.3">
      <c r="F224">
        <v>6</v>
      </c>
      <c r="G224" s="4">
        <f t="shared" si="19"/>
        <v>1369.7501186857016</v>
      </c>
      <c r="H224" s="1">
        <f t="shared" si="20"/>
        <v>1191.4937256147809</v>
      </c>
      <c r="I224" s="4">
        <f t="shared" si="21"/>
        <v>246914.18814953117</v>
      </c>
      <c r="K224" s="4">
        <f t="shared" si="22"/>
        <v>415510.32158423873</v>
      </c>
      <c r="L224" s="4">
        <f t="shared" si="23"/>
        <v>153085.81185046863</v>
      </c>
      <c r="M224" s="4">
        <f t="shared" si="24"/>
        <v>568596.1334347073</v>
      </c>
    </row>
    <row r="225" spans="5:13" thickTop="1" thickBot="1" x14ac:dyDescent="0.3">
      <c r="F225">
        <v>7</v>
      </c>
      <c r="G225" s="4">
        <f t="shared" si="19"/>
        <v>1363.17208040887</v>
      </c>
      <c r="H225" s="1">
        <f t="shared" si="20"/>
        <v>1198.0717638916126</v>
      </c>
      <c r="I225" s="4">
        <f t="shared" si="21"/>
        <v>245716.11638563956</v>
      </c>
      <c r="K225" s="4">
        <f t="shared" si="22"/>
        <v>416873.49366464763</v>
      </c>
      <c r="L225" s="4">
        <f t="shared" si="23"/>
        <v>154283.88361436024</v>
      </c>
      <c r="M225" s="4">
        <f t="shared" si="24"/>
        <v>571157.37727900781</v>
      </c>
    </row>
    <row r="226" spans="5:13" thickTop="1" thickBot="1" x14ac:dyDescent="0.3">
      <c r="F226">
        <v>8</v>
      </c>
      <c r="G226" s="4">
        <f t="shared" si="19"/>
        <v>1356.5577258790518</v>
      </c>
      <c r="H226" s="1">
        <f t="shared" si="20"/>
        <v>1204.6861184214308</v>
      </c>
      <c r="I226" s="4">
        <f t="shared" si="21"/>
        <v>244511.43026721812</v>
      </c>
      <c r="K226" s="4">
        <f t="shared" si="22"/>
        <v>418230.0513905267</v>
      </c>
      <c r="L226" s="4">
        <f t="shared" si="23"/>
        <v>155488.56973278167</v>
      </c>
      <c r="M226" s="4">
        <f t="shared" si="24"/>
        <v>573718.62112330832</v>
      </c>
    </row>
    <row r="227" spans="5:13" thickTop="1" thickBot="1" x14ac:dyDescent="0.3">
      <c r="F227">
        <v>9</v>
      </c>
      <c r="G227" s="4">
        <f t="shared" si="19"/>
        <v>1349.9068546002668</v>
      </c>
      <c r="H227" s="1">
        <f t="shared" si="20"/>
        <v>1211.3369897002158</v>
      </c>
      <c r="I227" s="4">
        <f t="shared" si="21"/>
        <v>243300.09327751791</v>
      </c>
      <c r="K227" s="4">
        <f t="shared" si="22"/>
        <v>419579.95824512694</v>
      </c>
      <c r="L227" s="4">
        <f t="shared" si="23"/>
        <v>156699.90672248189</v>
      </c>
      <c r="M227" s="4">
        <f t="shared" si="24"/>
        <v>576279.86496760882</v>
      </c>
    </row>
    <row r="228" spans="5:13" thickTop="1" thickBot="1" x14ac:dyDescent="0.3">
      <c r="F228">
        <v>10</v>
      </c>
      <c r="G228" s="4">
        <f t="shared" si="19"/>
        <v>1343.2192649696301</v>
      </c>
      <c r="H228" s="1">
        <f t="shared" si="20"/>
        <v>1218.0245793308525</v>
      </c>
      <c r="I228" s="4">
        <f t="shared" si="21"/>
        <v>242082.06869818707</v>
      </c>
      <c r="K228" s="4">
        <f t="shared" si="22"/>
        <v>420923.17751009658</v>
      </c>
      <c r="L228" s="4">
        <f t="shared" si="23"/>
        <v>157917.93130181273</v>
      </c>
      <c r="M228" s="4">
        <f t="shared" si="24"/>
        <v>578841.10881190933</v>
      </c>
    </row>
    <row r="229" spans="5:13" thickTop="1" thickBot="1" x14ac:dyDescent="0.3">
      <c r="F229">
        <v>11</v>
      </c>
      <c r="G229" s="4">
        <f t="shared" si="19"/>
        <v>1336.4947542712412</v>
      </c>
      <c r="H229" s="1">
        <f t="shared" si="20"/>
        <v>1224.7490900292414</v>
      </c>
      <c r="I229" s="4">
        <f t="shared" si="21"/>
        <v>240857.31960815782</v>
      </c>
      <c r="K229" s="4">
        <f t="shared" si="22"/>
        <v>422259.67226436781</v>
      </c>
      <c r="L229" s="4">
        <f t="shared" si="23"/>
        <v>159142.68039184198</v>
      </c>
      <c r="M229" s="4">
        <f t="shared" si="24"/>
        <v>581402.35265620984</v>
      </c>
    </row>
    <row r="230" spans="5:13" thickTop="1" thickBot="1" x14ac:dyDescent="0.3">
      <c r="F230">
        <v>12</v>
      </c>
      <c r="G230" s="4">
        <f t="shared" si="19"/>
        <v>1329.733118670038</v>
      </c>
      <c r="H230" s="1">
        <f t="shared" si="20"/>
        <v>1231.5107256304445</v>
      </c>
      <c r="I230" s="4">
        <f t="shared" si="21"/>
        <v>239625.80888252737</v>
      </c>
      <c r="K230" s="4">
        <f t="shared" si="22"/>
        <v>423589.40538303787</v>
      </c>
      <c r="L230" s="4">
        <f t="shared" si="23"/>
        <v>160374.19111747242</v>
      </c>
      <c r="M230" s="4">
        <f t="shared" si="24"/>
        <v>583963.59650051035</v>
      </c>
    </row>
    <row r="231" spans="5:13" thickTop="1" thickBot="1" x14ac:dyDescent="0.3">
      <c r="E231" t="s">
        <v>18</v>
      </c>
      <c r="F231">
        <v>1</v>
      </c>
      <c r="G231" s="4">
        <f t="shared" si="19"/>
        <v>1322.9341532056199</v>
      </c>
      <c r="H231" s="1">
        <f t="shared" si="20"/>
        <v>1238.3096910948627</v>
      </c>
      <c r="I231" s="4">
        <f t="shared" si="21"/>
        <v>238387.49919143252</v>
      </c>
      <c r="K231" s="4">
        <f t="shared" si="22"/>
        <v>424912.33953624347</v>
      </c>
      <c r="L231" s="4">
        <f t="shared" si="23"/>
        <v>161612.50080856727</v>
      </c>
      <c r="M231" s="4">
        <f t="shared" si="24"/>
        <v>586524.84034481074</v>
      </c>
    </row>
    <row r="232" spans="5:13" thickTop="1" thickBot="1" x14ac:dyDescent="0.3">
      <c r="F232">
        <v>2</v>
      </c>
      <c r="G232" s="4">
        <f t="shared" si="19"/>
        <v>1316.0976517860338</v>
      </c>
      <c r="H232" s="1">
        <f t="shared" si="20"/>
        <v>1245.1461925144488</v>
      </c>
      <c r="I232" s="4">
        <f t="shared" si="21"/>
        <v>237142.35299891807</v>
      </c>
      <c r="K232" s="4">
        <f t="shared" si="22"/>
        <v>426228.43718802952</v>
      </c>
      <c r="L232" s="4">
        <f t="shared" si="23"/>
        <v>162857.64700108173</v>
      </c>
      <c r="M232" s="4">
        <f t="shared" si="24"/>
        <v>589086.08418911125</v>
      </c>
    </row>
    <row r="233" spans="5:13" thickTop="1" thickBot="1" x14ac:dyDescent="0.3">
      <c r="F233">
        <v>3</v>
      </c>
      <c r="G233" s="4">
        <f t="shared" si="19"/>
        <v>1309.2234071815269</v>
      </c>
      <c r="H233" s="1">
        <f t="shared" si="20"/>
        <v>1252.0204371189557</v>
      </c>
      <c r="I233" s="4">
        <f t="shared" si="21"/>
        <v>235890.33256179912</v>
      </c>
      <c r="K233" s="4">
        <f t="shared" si="22"/>
        <v>427537.66059521103</v>
      </c>
      <c r="L233" s="4">
        <f t="shared" si="23"/>
        <v>164109.66743820067</v>
      </c>
      <c r="M233" s="4">
        <f t="shared" si="24"/>
        <v>591647.32803341164</v>
      </c>
    </row>
    <row r="234" spans="5:13" thickTop="1" thickBot="1" x14ac:dyDescent="0.3">
      <c r="F234">
        <v>4</v>
      </c>
      <c r="G234" s="4">
        <f t="shared" si="19"/>
        <v>1302.311211018266</v>
      </c>
      <c r="H234" s="1">
        <f t="shared" si="20"/>
        <v>1258.9326332822166</v>
      </c>
      <c r="I234" s="4">
        <f t="shared" si="21"/>
        <v>234631.39992851691</v>
      </c>
      <c r="K234" s="4">
        <f t="shared" si="22"/>
        <v>428839.97180622927</v>
      </c>
      <c r="L234" s="4">
        <f t="shared" si="23"/>
        <v>165368.60007148288</v>
      </c>
      <c r="M234" s="4">
        <f t="shared" si="24"/>
        <v>594208.57187771215</v>
      </c>
    </row>
    <row r="235" spans="5:13" thickTop="1" thickBot="1" x14ac:dyDescent="0.3">
      <c r="F235">
        <v>5</v>
      </c>
      <c r="G235" s="4">
        <f t="shared" si="19"/>
        <v>1295.3608537720204</v>
      </c>
      <c r="H235" s="1">
        <f t="shared" si="20"/>
        <v>1265.8829905284622</v>
      </c>
      <c r="I235" s="4">
        <f t="shared" si="21"/>
        <v>233365.51693798846</v>
      </c>
      <c r="K235" s="4">
        <f t="shared" si="22"/>
        <v>430135.3326600013</v>
      </c>
      <c r="L235" s="4">
        <f t="shared" si="23"/>
        <v>166634.48306201134</v>
      </c>
      <c r="M235" s="4">
        <f t="shared" si="24"/>
        <v>596769.81572201266</v>
      </c>
    </row>
    <row r="236" spans="5:13" thickTop="1" thickBot="1" x14ac:dyDescent="0.3">
      <c r="F236">
        <v>6</v>
      </c>
      <c r="G236" s="4">
        <f t="shared" si="19"/>
        <v>1288.3721247618114</v>
      </c>
      <c r="H236" s="1">
        <f t="shared" si="20"/>
        <v>1272.8717195386712</v>
      </c>
      <c r="I236" s="4">
        <f t="shared" si="21"/>
        <v>232092.64521844979</v>
      </c>
      <c r="K236" s="4">
        <f t="shared" si="22"/>
        <v>431423.7047847631</v>
      </c>
      <c r="L236" s="4">
        <f t="shared" si="23"/>
        <v>167907.35478155001</v>
      </c>
      <c r="M236" s="4">
        <f t="shared" si="24"/>
        <v>599331.05956631317</v>
      </c>
    </row>
    <row r="237" spans="5:13" thickTop="1" thickBot="1" x14ac:dyDescent="0.3">
      <c r="F237">
        <v>7</v>
      </c>
      <c r="G237" s="4">
        <f t="shared" si="19"/>
        <v>1281.3448121435249</v>
      </c>
      <c r="H237" s="1">
        <f t="shared" si="20"/>
        <v>1279.8990321569577</v>
      </c>
      <c r="I237" s="4">
        <f t="shared" si="21"/>
        <v>230812.74618629285</v>
      </c>
      <c r="K237" s="4">
        <f t="shared" si="22"/>
        <v>432705.04959690664</v>
      </c>
      <c r="L237" s="4">
        <f t="shared" si="23"/>
        <v>169187.25381370695</v>
      </c>
      <c r="M237" s="4">
        <f t="shared" si="24"/>
        <v>601892.30341061356</v>
      </c>
    </row>
    <row r="238" spans="5:13" thickTop="1" thickBot="1" x14ac:dyDescent="0.3">
      <c r="F238">
        <v>8</v>
      </c>
      <c r="G238" s="4">
        <f t="shared" si="19"/>
        <v>1274.2787029034919</v>
      </c>
      <c r="H238" s="1">
        <f t="shared" si="20"/>
        <v>1286.9651413969907</v>
      </c>
      <c r="I238" s="4">
        <f t="shared" si="21"/>
        <v>229525.78104489585</v>
      </c>
      <c r="K238" s="4">
        <f t="shared" si="22"/>
        <v>433979.32829981012</v>
      </c>
      <c r="L238" s="4">
        <f t="shared" si="23"/>
        <v>170474.21895510395</v>
      </c>
      <c r="M238" s="4">
        <f t="shared" si="24"/>
        <v>604453.54725491407</v>
      </c>
    </row>
    <row r="239" spans="5:13" thickTop="1" thickBot="1" x14ac:dyDescent="0.3">
      <c r="F239">
        <v>9</v>
      </c>
      <c r="G239" s="4">
        <f t="shared" si="19"/>
        <v>1267.1735828520293</v>
      </c>
      <c r="H239" s="1">
        <f t="shared" si="20"/>
        <v>1294.0702614484533</v>
      </c>
      <c r="I239" s="4">
        <f t="shared" si="21"/>
        <v>228231.7107834474</v>
      </c>
      <c r="K239" s="4">
        <f t="shared" si="22"/>
        <v>435246.50188266212</v>
      </c>
      <c r="L239" s="4">
        <f t="shared" si="23"/>
        <v>171768.2892165524</v>
      </c>
      <c r="M239" s="4">
        <f t="shared" si="24"/>
        <v>607014.79109921446</v>
      </c>
    </row>
    <row r="240" spans="5:13" thickTop="1" thickBot="1" x14ac:dyDescent="0.3">
      <c r="F240">
        <v>10</v>
      </c>
      <c r="G240" s="4">
        <f t="shared" si="19"/>
        <v>1260.0292366169492</v>
      </c>
      <c r="H240" s="1">
        <f t="shared" si="20"/>
        <v>1301.2146076835334</v>
      </c>
      <c r="I240" s="4">
        <f t="shared" si="21"/>
        <v>226930.49617576387</v>
      </c>
      <c r="K240" s="4">
        <f t="shared" si="22"/>
        <v>436506.5311192791</v>
      </c>
      <c r="L240" s="4">
        <f t="shared" si="23"/>
        <v>173069.50382423593</v>
      </c>
      <c r="M240" s="4">
        <f t="shared" si="24"/>
        <v>609576.03494351497</v>
      </c>
    </row>
    <row r="241" spans="5:13" thickTop="1" thickBot="1" x14ac:dyDescent="0.3">
      <c r="F241">
        <v>11</v>
      </c>
      <c r="G241" s="4">
        <f t="shared" si="19"/>
        <v>1252.8454476370298</v>
      </c>
      <c r="H241" s="1">
        <f t="shared" si="20"/>
        <v>1308.3983966634528</v>
      </c>
      <c r="I241" s="4">
        <f t="shared" si="21"/>
        <v>225622.09777910041</v>
      </c>
      <c r="K241" s="4">
        <f t="shared" si="22"/>
        <v>437759.37656691612</v>
      </c>
      <c r="L241" s="4">
        <f t="shared" si="23"/>
        <v>174377.90222089938</v>
      </c>
      <c r="M241" s="4">
        <f t="shared" si="24"/>
        <v>612137.27878781548</v>
      </c>
    </row>
    <row r="242" spans="5:13" thickTop="1" thickBot="1" x14ac:dyDescent="0.3">
      <c r="F242">
        <v>12</v>
      </c>
      <c r="G242" s="4">
        <f t="shared" si="19"/>
        <v>1245.6219981554502</v>
      </c>
      <c r="H242" s="1">
        <f t="shared" si="20"/>
        <v>1315.6218461450324</v>
      </c>
      <c r="I242" s="4">
        <f t="shared" si="21"/>
        <v>224306.47593295539</v>
      </c>
      <c r="K242" s="4">
        <f t="shared" si="22"/>
        <v>439004.99856507155</v>
      </c>
      <c r="L242" s="4">
        <f t="shared" si="23"/>
        <v>175693.5240670444</v>
      </c>
      <c r="M242" s="4">
        <f t="shared" si="24"/>
        <v>614698.52263211599</v>
      </c>
    </row>
    <row r="243" spans="5:13" thickTop="1" thickBot="1" x14ac:dyDescent="0.3">
      <c r="E243" t="s">
        <v>34</v>
      </c>
      <c r="F243">
        <v>1</v>
      </c>
      <c r="G243" s="4">
        <f t="shared" si="19"/>
        <v>1238.3586692131914</v>
      </c>
      <c r="H243" s="1">
        <f t="shared" si="20"/>
        <v>1322.8851750872911</v>
      </c>
      <c r="I243" s="4">
        <f t="shared" si="21"/>
        <v>222983.59075786811</v>
      </c>
      <c r="K243" s="4">
        <f t="shared" si="22"/>
        <v>440243.35723428475</v>
      </c>
      <c r="L243" s="4">
        <f t="shared" si="23"/>
        <v>177016.40924213169</v>
      </c>
      <c r="M243" s="4">
        <f t="shared" si="24"/>
        <v>617259.76647641649</v>
      </c>
    </row>
    <row r="244" spans="5:13" thickTop="1" thickBot="1" x14ac:dyDescent="0.3">
      <c r="F244">
        <v>2</v>
      </c>
      <c r="G244" s="4">
        <f t="shared" si="19"/>
        <v>1231.0552406423969</v>
      </c>
      <c r="H244" s="1">
        <f t="shared" si="20"/>
        <v>1330.1886036580856</v>
      </c>
      <c r="I244" s="4">
        <f t="shared" si="21"/>
        <v>221653.40215421002</v>
      </c>
      <c r="K244" s="4">
        <f t="shared" si="22"/>
        <v>441474.41247492714</v>
      </c>
      <c r="L244" s="4">
        <f t="shared" si="23"/>
        <v>178346.59784578977</v>
      </c>
      <c r="M244" s="4">
        <f t="shared" si="24"/>
        <v>619821.01032071689</v>
      </c>
    </row>
    <row r="245" spans="5:13" thickTop="1" thickBot="1" x14ac:dyDescent="0.3">
      <c r="F245">
        <v>3</v>
      </c>
      <c r="G245" s="4">
        <f t="shared" si="19"/>
        <v>1223.7114910597013</v>
      </c>
      <c r="H245" s="1">
        <f t="shared" si="20"/>
        <v>1337.5323532407813</v>
      </c>
      <c r="I245" s="4">
        <f t="shared" si="21"/>
        <v>220315.86980096923</v>
      </c>
      <c r="K245" s="4">
        <f t="shared" si="22"/>
        <v>442698.12396598683</v>
      </c>
      <c r="L245" s="4">
        <f t="shared" si="23"/>
        <v>179684.13019903057</v>
      </c>
      <c r="M245" s="4">
        <f t="shared" si="24"/>
        <v>622382.2541650174</v>
      </c>
    </row>
    <row r="246" spans="5:13" thickTop="1" thickBot="1" x14ac:dyDescent="0.3">
      <c r="F246">
        <v>4</v>
      </c>
      <c r="G246" s="4">
        <f t="shared" si="19"/>
        <v>1216.3271978595178</v>
      </c>
      <c r="H246" s="1">
        <f t="shared" si="20"/>
        <v>1344.9166464409648</v>
      </c>
      <c r="I246" s="4">
        <f t="shared" si="21"/>
        <v>218970.95315452825</v>
      </c>
      <c r="K246" s="4">
        <f t="shared" si="22"/>
        <v>443914.45116384636</v>
      </c>
      <c r="L246" s="4">
        <f t="shared" si="23"/>
        <v>181029.04684547154</v>
      </c>
      <c r="M246" s="4">
        <f t="shared" si="24"/>
        <v>624943.4980093179</v>
      </c>
    </row>
    <row r="247" spans="5:13" thickTop="1" thickBot="1" x14ac:dyDescent="0.3">
      <c r="F247">
        <v>5</v>
      </c>
      <c r="G247" s="4">
        <f t="shared" ref="G247:G310" si="25">I246*$B$3/12</f>
        <v>1208.9021372072914</v>
      </c>
      <c r="H247" s="1">
        <f t="shared" si="20"/>
        <v>1352.3417070931912</v>
      </c>
      <c r="I247" s="4">
        <f t="shared" si="21"/>
        <v>217618.61144743505</v>
      </c>
      <c r="K247" s="4">
        <f t="shared" si="22"/>
        <v>445123.35330105363</v>
      </c>
      <c r="L247" s="4">
        <f t="shared" si="23"/>
        <v>182381.38855256475</v>
      </c>
      <c r="M247" s="4">
        <f t="shared" si="24"/>
        <v>627504.74185361841</v>
      </c>
    </row>
    <row r="248" spans="5:13" thickTop="1" thickBot="1" x14ac:dyDescent="0.3">
      <c r="F248">
        <v>6</v>
      </c>
      <c r="G248" s="4">
        <f t="shared" si="25"/>
        <v>1201.4360840327142</v>
      </c>
      <c r="H248" s="1">
        <f t="shared" si="20"/>
        <v>1359.8077602677683</v>
      </c>
      <c r="I248" s="4">
        <f t="shared" si="21"/>
        <v>216258.80368716727</v>
      </c>
      <c r="K248" s="4">
        <f t="shared" si="22"/>
        <v>446324.78938508633</v>
      </c>
      <c r="L248" s="4">
        <f t="shared" si="23"/>
        <v>183741.19631283253</v>
      </c>
      <c r="M248" s="4">
        <f t="shared" si="24"/>
        <v>630065.9856979188</v>
      </c>
    </row>
    <row r="249" spans="5:13" thickTop="1" thickBot="1" x14ac:dyDescent="0.3">
      <c r="F249">
        <v>7</v>
      </c>
      <c r="G249" s="4">
        <f t="shared" si="25"/>
        <v>1193.9288120229028</v>
      </c>
      <c r="H249" s="1">
        <f t="shared" si="20"/>
        <v>1367.3150322775798</v>
      </c>
      <c r="I249" s="4">
        <f t="shared" si="21"/>
        <v>214891.48865488969</v>
      </c>
      <c r="K249" s="4">
        <f t="shared" si="22"/>
        <v>447518.71819710924</v>
      </c>
      <c r="L249" s="4">
        <f t="shared" si="23"/>
        <v>185108.51134511011</v>
      </c>
      <c r="M249" s="4">
        <f t="shared" si="24"/>
        <v>632627.22954221931</v>
      </c>
    </row>
    <row r="250" spans="5:13" thickTop="1" thickBot="1" x14ac:dyDescent="0.3">
      <c r="F250">
        <v>8</v>
      </c>
      <c r="G250" s="4">
        <f t="shared" si="25"/>
        <v>1186.3800936155369</v>
      </c>
      <c r="H250" s="1">
        <f t="shared" si="20"/>
        <v>1374.8637506849457</v>
      </c>
      <c r="I250" s="4">
        <f t="shared" si="21"/>
        <v>213516.62490420474</v>
      </c>
      <c r="K250" s="4">
        <f t="shared" si="22"/>
        <v>448705.0982907248</v>
      </c>
      <c r="L250" s="4">
        <f t="shared" si="23"/>
        <v>186483.37509579505</v>
      </c>
      <c r="M250" s="4">
        <f t="shared" si="24"/>
        <v>635188.47338651982</v>
      </c>
    </row>
    <row r="251" spans="5:13" thickTop="1" thickBot="1" x14ac:dyDescent="0.3">
      <c r="F251">
        <v>9</v>
      </c>
      <c r="G251" s="4">
        <f t="shared" si="25"/>
        <v>1178.7896999919637</v>
      </c>
      <c r="H251" s="1">
        <f t="shared" si="20"/>
        <v>1382.4541443085188</v>
      </c>
      <c r="I251" s="4">
        <f t="shared" si="21"/>
        <v>212134.17075989622</v>
      </c>
      <c r="K251" s="4">
        <f t="shared" si="22"/>
        <v>449883.88799071679</v>
      </c>
      <c r="L251" s="4">
        <f t="shared" si="23"/>
        <v>187865.82924010357</v>
      </c>
      <c r="M251" s="4">
        <f t="shared" si="24"/>
        <v>637749.71723082033</v>
      </c>
    </row>
    <row r="252" spans="5:13" thickTop="1" thickBot="1" x14ac:dyDescent="0.3">
      <c r="F252">
        <v>10</v>
      </c>
      <c r="G252" s="4">
        <f t="shared" si="25"/>
        <v>1171.1574010702604</v>
      </c>
      <c r="H252" s="1">
        <f t="shared" si="20"/>
        <v>1390.0864432302221</v>
      </c>
      <c r="I252" s="4">
        <f t="shared" si="21"/>
        <v>210744.08431666601</v>
      </c>
      <c r="K252" s="4">
        <f t="shared" si="22"/>
        <v>451055.04539178702</v>
      </c>
      <c r="L252" s="4">
        <f t="shared" si="23"/>
        <v>189255.91568333379</v>
      </c>
      <c r="M252" s="4">
        <f t="shared" si="24"/>
        <v>640310.96107512084</v>
      </c>
    </row>
    <row r="253" spans="5:13" thickTop="1" thickBot="1" x14ac:dyDescent="0.3">
      <c r="F253">
        <v>11</v>
      </c>
      <c r="G253" s="4">
        <f t="shared" si="25"/>
        <v>1163.4829654982602</v>
      </c>
      <c r="H253" s="1">
        <f t="shared" si="20"/>
        <v>1397.7608788022224</v>
      </c>
      <c r="I253" s="4">
        <f t="shared" si="21"/>
        <v>209346.32343786379</v>
      </c>
      <c r="K253" s="4">
        <f t="shared" si="22"/>
        <v>452218.52835728525</v>
      </c>
      <c r="L253" s="4">
        <f t="shared" si="23"/>
        <v>190653.67656213601</v>
      </c>
      <c r="M253" s="4">
        <f t="shared" si="24"/>
        <v>642872.20491942123</v>
      </c>
    </row>
    <row r="254" spans="5:13" thickTop="1" thickBot="1" x14ac:dyDescent="0.3">
      <c r="F254">
        <v>12</v>
      </c>
      <c r="G254" s="4">
        <f t="shared" si="25"/>
        <v>1155.7661606465397</v>
      </c>
      <c r="H254" s="1">
        <f t="shared" si="20"/>
        <v>1405.4776836539429</v>
      </c>
      <c r="I254" s="4">
        <f t="shared" si="21"/>
        <v>207940.84575420985</v>
      </c>
      <c r="K254" s="4">
        <f t="shared" si="22"/>
        <v>453374.29451793176</v>
      </c>
      <c r="L254" s="4">
        <f t="shared" si="23"/>
        <v>192059.15424578995</v>
      </c>
      <c r="M254" s="4">
        <f t="shared" si="24"/>
        <v>645433.44876372174</v>
      </c>
    </row>
    <row r="255" spans="5:13" thickTop="1" thickBot="1" x14ac:dyDescent="0.3">
      <c r="E255" t="s">
        <v>20</v>
      </c>
      <c r="F255">
        <v>1</v>
      </c>
      <c r="G255" s="4">
        <f t="shared" si="25"/>
        <v>1148.006752601367</v>
      </c>
      <c r="H255" s="1">
        <f t="shared" si="20"/>
        <v>1413.2370916991156</v>
      </c>
      <c r="I255" s="4">
        <f t="shared" si="21"/>
        <v>206527.60866251073</v>
      </c>
      <c r="K255" s="4">
        <f t="shared" si="22"/>
        <v>454522.30127053312</v>
      </c>
      <c r="L255" s="4">
        <f t="shared" si="23"/>
        <v>193472.39133748907</v>
      </c>
      <c r="M255" s="4">
        <f t="shared" si="24"/>
        <v>647994.69260802213</v>
      </c>
    </row>
    <row r="256" spans="5:13" thickTop="1" thickBot="1" x14ac:dyDescent="0.3">
      <c r="F256">
        <v>2</v>
      </c>
      <c r="G256" s="4">
        <f t="shared" si="25"/>
        <v>1140.2045061576114</v>
      </c>
      <c r="H256" s="1">
        <f t="shared" si="20"/>
        <v>1421.0393381428712</v>
      </c>
      <c r="I256" s="4">
        <f t="shared" si="21"/>
        <v>205106.56932436785</v>
      </c>
      <c r="K256" s="4">
        <f t="shared" si="22"/>
        <v>455662.50577669073</v>
      </c>
      <c r="L256" s="4">
        <f t="shared" si="23"/>
        <v>194893.43067563194</v>
      </c>
      <c r="M256" s="4">
        <f t="shared" si="24"/>
        <v>650555.93645232264</v>
      </c>
    </row>
    <row r="257" spans="5:13" thickTop="1" thickBot="1" x14ac:dyDescent="0.3">
      <c r="F257">
        <v>3</v>
      </c>
      <c r="G257" s="4">
        <f t="shared" si="25"/>
        <v>1132.3591848116141</v>
      </c>
      <c r="H257" s="1">
        <f t="shared" si="20"/>
        <v>1428.8846594888685</v>
      </c>
      <c r="I257" s="4">
        <f t="shared" si="21"/>
        <v>203677.68466487899</v>
      </c>
      <c r="K257" s="4">
        <f t="shared" si="22"/>
        <v>456794.86496150232</v>
      </c>
      <c r="L257" s="4">
        <f t="shared" si="23"/>
        <v>196322.3153351208</v>
      </c>
      <c r="M257" s="4">
        <f t="shared" si="24"/>
        <v>653117.18029662315</v>
      </c>
    </row>
    <row r="258" spans="5:13" thickTop="1" thickBot="1" x14ac:dyDescent="0.3">
      <c r="F258">
        <v>4</v>
      </c>
      <c r="G258" s="4">
        <f t="shared" si="25"/>
        <v>1124.4705507540195</v>
      </c>
      <c r="H258" s="1">
        <f t="shared" si="20"/>
        <v>1436.773293546463</v>
      </c>
      <c r="I258" s="4">
        <f t="shared" si="21"/>
        <v>202240.91137133254</v>
      </c>
      <c r="K258" s="4">
        <f t="shared" si="22"/>
        <v>457919.33551225631</v>
      </c>
      <c r="L258" s="4">
        <f t="shared" si="23"/>
        <v>197759.08862866726</v>
      </c>
      <c r="M258" s="4">
        <f t="shared" si="24"/>
        <v>655678.42414092354</v>
      </c>
    </row>
    <row r="259" spans="5:13" thickTop="1" thickBot="1" x14ac:dyDescent="0.3">
      <c r="F259">
        <v>5</v>
      </c>
      <c r="G259" s="4">
        <f t="shared" si="25"/>
        <v>1116.538364862565</v>
      </c>
      <c r="H259" s="1">
        <f t="shared" si="20"/>
        <v>1444.7054794379176</v>
      </c>
      <c r="I259" s="4">
        <f t="shared" si="21"/>
        <v>200796.20589189461</v>
      </c>
      <c r="K259" s="4">
        <f t="shared" si="22"/>
        <v>459035.87387711887</v>
      </c>
      <c r="L259" s="4">
        <f t="shared" si="23"/>
        <v>199203.79410810518</v>
      </c>
      <c r="M259" s="4">
        <f t="shared" si="24"/>
        <v>658239.66798522405</v>
      </c>
    </row>
    <row r="260" spans="5:13" thickTop="1" thickBot="1" x14ac:dyDescent="0.3">
      <c r="F260">
        <v>6</v>
      </c>
      <c r="G260" s="4">
        <f t="shared" si="25"/>
        <v>1108.5623866948349</v>
      </c>
      <c r="H260" s="1">
        <f t="shared" ref="H260:H323" si="26">IF($B$5+$B$6&gt;=I259+G260, I259, ($B$5+$B$6)-G260)</f>
        <v>1452.6814576056477</v>
      </c>
      <c r="I260" s="4">
        <f t="shared" si="21"/>
        <v>199343.52443428896</v>
      </c>
      <c r="K260" s="4">
        <f t="shared" si="22"/>
        <v>460144.4362638137</v>
      </c>
      <c r="L260" s="4">
        <f t="shared" si="23"/>
        <v>200656.47556571083</v>
      </c>
      <c r="M260" s="4">
        <f t="shared" si="24"/>
        <v>660800.91182952456</v>
      </c>
    </row>
    <row r="261" spans="5:13" thickTop="1" thickBot="1" x14ac:dyDescent="0.3">
      <c r="F261">
        <v>7</v>
      </c>
      <c r="G261" s="4">
        <f t="shared" si="25"/>
        <v>1100.5423744809702</v>
      </c>
      <c r="H261" s="1">
        <f t="shared" si="26"/>
        <v>1460.7014698195123</v>
      </c>
      <c r="I261" s="4">
        <f t="shared" ref="I261:I324" si="27">MAX(I260-H261, 0)</f>
        <v>197882.82296446947</v>
      </c>
      <c r="K261" s="4">
        <f t="shared" ref="K261:K324" si="28">G261+K260</f>
        <v>461244.97863829468</v>
      </c>
      <c r="L261" s="4">
        <f t="shared" ref="L261:L324" si="29">H261+L260</f>
        <v>202117.17703553033</v>
      </c>
      <c r="M261" s="4">
        <f t="shared" ref="M261:M324" si="30">L261+K261</f>
        <v>663362.15567382495</v>
      </c>
    </row>
    <row r="262" spans="5:13" thickTop="1" thickBot="1" x14ac:dyDescent="0.3">
      <c r="F262">
        <v>8</v>
      </c>
      <c r="G262" s="4">
        <f t="shared" si="25"/>
        <v>1092.4780851163418</v>
      </c>
      <c r="H262" s="1">
        <f t="shared" si="26"/>
        <v>1468.7657591841407</v>
      </c>
      <c r="I262" s="4">
        <f t="shared" si="27"/>
        <v>196414.05720528532</v>
      </c>
      <c r="K262" s="4">
        <f t="shared" si="28"/>
        <v>462337.45672341104</v>
      </c>
      <c r="L262" s="4">
        <f t="shared" si="29"/>
        <v>203585.94279471447</v>
      </c>
      <c r="M262" s="4">
        <f t="shared" si="30"/>
        <v>665923.39951812546</v>
      </c>
    </row>
    <row r="263" spans="5:13" thickTop="1" thickBot="1" x14ac:dyDescent="0.3">
      <c r="F263">
        <v>9</v>
      </c>
      <c r="G263" s="4">
        <f t="shared" si="25"/>
        <v>1084.3692741541795</v>
      </c>
      <c r="H263" s="1">
        <f t="shared" si="26"/>
        <v>1476.8745701463031</v>
      </c>
      <c r="I263" s="4">
        <f t="shared" si="27"/>
        <v>194937.18263513903</v>
      </c>
      <c r="K263" s="4">
        <f t="shared" si="28"/>
        <v>463421.82599756523</v>
      </c>
      <c r="L263" s="4">
        <f t="shared" si="29"/>
        <v>205062.81736486076</v>
      </c>
      <c r="M263" s="4">
        <f t="shared" si="30"/>
        <v>668484.64336242597</v>
      </c>
    </row>
    <row r="264" spans="5:13" thickTop="1" thickBot="1" x14ac:dyDescent="0.3">
      <c r="F264">
        <v>10</v>
      </c>
      <c r="G264" s="4">
        <f t="shared" si="25"/>
        <v>1076.2156957981636</v>
      </c>
      <c r="H264" s="1">
        <f t="shared" si="26"/>
        <v>1485.028148502319</v>
      </c>
      <c r="I264" s="4">
        <f t="shared" si="27"/>
        <v>193452.15448663672</v>
      </c>
      <c r="K264" s="4">
        <f t="shared" si="28"/>
        <v>464498.0416933634</v>
      </c>
      <c r="L264" s="4">
        <f t="shared" si="29"/>
        <v>206547.84551336308</v>
      </c>
      <c r="M264" s="4">
        <f t="shared" si="30"/>
        <v>671045.88720672647</v>
      </c>
    </row>
    <row r="265" spans="5:13" thickTop="1" thickBot="1" x14ac:dyDescent="0.3">
      <c r="F265">
        <v>11</v>
      </c>
      <c r="G265" s="4">
        <f t="shared" si="25"/>
        <v>1068.0171028949737</v>
      </c>
      <c r="H265" s="1">
        <f t="shared" si="26"/>
        <v>1493.2267414055088</v>
      </c>
      <c r="I265" s="4">
        <f t="shared" si="27"/>
        <v>191958.92774523122</v>
      </c>
      <c r="K265" s="4">
        <f t="shared" si="28"/>
        <v>465566.05879625835</v>
      </c>
      <c r="L265" s="4">
        <f t="shared" si="29"/>
        <v>208041.07225476857</v>
      </c>
      <c r="M265" s="4">
        <f t="shared" si="30"/>
        <v>673607.13105102698</v>
      </c>
    </row>
    <row r="266" spans="5:13" thickTop="1" thickBot="1" x14ac:dyDescent="0.3">
      <c r="F266">
        <v>12</v>
      </c>
      <c r="G266" s="4">
        <f t="shared" si="25"/>
        <v>1059.7732469267974</v>
      </c>
      <c r="H266" s="1">
        <f t="shared" si="26"/>
        <v>1501.4705973736852</v>
      </c>
      <c r="I266" s="4">
        <f t="shared" si="27"/>
        <v>190457.45714785755</v>
      </c>
      <c r="K266" s="4">
        <f t="shared" si="28"/>
        <v>466625.83204318513</v>
      </c>
      <c r="L266" s="4">
        <f t="shared" si="29"/>
        <v>209542.54285214224</v>
      </c>
      <c r="M266" s="4">
        <f t="shared" si="30"/>
        <v>676168.37489532738</v>
      </c>
    </row>
    <row r="267" spans="5:13" thickTop="1" thickBot="1" x14ac:dyDescent="0.3">
      <c r="E267" t="s">
        <v>25</v>
      </c>
      <c r="F267">
        <v>1</v>
      </c>
      <c r="G267" s="4">
        <f t="shared" si="25"/>
        <v>1051.4838780037969</v>
      </c>
      <c r="H267" s="1">
        <f t="shared" si="26"/>
        <v>1509.7599662966857</v>
      </c>
      <c r="I267" s="4">
        <f t="shared" si="27"/>
        <v>188947.69718156086</v>
      </c>
      <c r="K267" s="4">
        <f t="shared" si="28"/>
        <v>467677.31592118891</v>
      </c>
      <c r="L267" s="4">
        <f t="shared" si="29"/>
        <v>211052.30281843894</v>
      </c>
      <c r="M267" s="4">
        <f t="shared" si="30"/>
        <v>678729.61873962788</v>
      </c>
    </row>
    <row r="268" spans="5:13" thickTop="1" thickBot="1" x14ac:dyDescent="0.3">
      <c r="F268">
        <v>2</v>
      </c>
      <c r="G268" s="4">
        <f t="shared" si="25"/>
        <v>1043.148744856534</v>
      </c>
      <c r="H268" s="1">
        <f t="shared" si="26"/>
        <v>1518.0950994439486</v>
      </c>
      <c r="I268" s="4">
        <f t="shared" si="27"/>
        <v>187429.60208211691</v>
      </c>
      <c r="K268" s="4">
        <f t="shared" si="28"/>
        <v>468720.46466604545</v>
      </c>
      <c r="L268" s="4">
        <f t="shared" si="29"/>
        <v>212570.39791788289</v>
      </c>
      <c r="M268" s="4">
        <f t="shared" si="30"/>
        <v>681290.86258392828</v>
      </c>
    </row>
    <row r="269" spans="5:13" thickTop="1" thickBot="1" x14ac:dyDescent="0.3">
      <c r="F269">
        <v>3</v>
      </c>
      <c r="G269" s="4">
        <f t="shared" si="25"/>
        <v>1034.7675948283538</v>
      </c>
      <c r="H269" s="1">
        <f t="shared" si="26"/>
        <v>1526.4762494721288</v>
      </c>
      <c r="I269" s="4">
        <f t="shared" si="27"/>
        <v>185903.12583264479</v>
      </c>
      <c r="K269" s="4">
        <f t="shared" si="28"/>
        <v>469755.23226087377</v>
      </c>
      <c r="L269" s="4">
        <f t="shared" si="29"/>
        <v>214096.87416735501</v>
      </c>
      <c r="M269" s="4">
        <f t="shared" si="30"/>
        <v>683852.10642822878</v>
      </c>
    </row>
    <row r="270" spans="5:13" thickTop="1" thickBot="1" x14ac:dyDescent="0.3">
      <c r="F270">
        <v>4</v>
      </c>
      <c r="G270" s="4">
        <f t="shared" si="25"/>
        <v>1026.3401738677264</v>
      </c>
      <c r="H270" s="1">
        <f t="shared" si="26"/>
        <v>1534.9036704327561</v>
      </c>
      <c r="I270" s="4">
        <f t="shared" si="27"/>
        <v>184368.22216221204</v>
      </c>
      <c r="K270" s="4">
        <f t="shared" si="28"/>
        <v>470781.57243474148</v>
      </c>
      <c r="L270" s="4">
        <f t="shared" si="29"/>
        <v>215631.77783778775</v>
      </c>
      <c r="M270" s="4">
        <f t="shared" si="30"/>
        <v>686413.35027252929</v>
      </c>
    </row>
    <row r="271" spans="5:13" thickTop="1" thickBot="1" x14ac:dyDescent="0.3">
      <c r="F271">
        <v>5</v>
      </c>
      <c r="G271" s="4">
        <f t="shared" si="25"/>
        <v>1017.8662265205458</v>
      </c>
      <c r="H271" s="1">
        <f t="shared" si="26"/>
        <v>1543.3776177799368</v>
      </c>
      <c r="I271" s="4">
        <f t="shared" si="27"/>
        <v>182824.8445444321</v>
      </c>
      <c r="K271" s="4">
        <f t="shared" si="28"/>
        <v>471799.43866126204</v>
      </c>
      <c r="L271" s="4">
        <f t="shared" si="29"/>
        <v>217175.1554555677</v>
      </c>
      <c r="M271" s="4">
        <f t="shared" si="30"/>
        <v>688974.5941168298</v>
      </c>
    </row>
    <row r="272" spans="5:13" thickTop="1" thickBot="1" x14ac:dyDescent="0.3">
      <c r="F272">
        <v>6</v>
      </c>
      <c r="G272" s="4">
        <f t="shared" si="25"/>
        <v>1009.3454959223856</v>
      </c>
      <c r="H272" s="1">
        <f t="shared" si="26"/>
        <v>1551.8983483780971</v>
      </c>
      <c r="I272" s="4">
        <f t="shared" si="27"/>
        <v>181272.94619605399</v>
      </c>
      <c r="K272" s="4">
        <f t="shared" si="28"/>
        <v>472808.78415718442</v>
      </c>
      <c r="L272" s="4">
        <f t="shared" si="29"/>
        <v>218727.0538039458</v>
      </c>
      <c r="M272" s="4">
        <f t="shared" si="30"/>
        <v>691535.83796113019</v>
      </c>
    </row>
    <row r="273" spans="5:13" thickTop="1" thickBot="1" x14ac:dyDescent="0.3">
      <c r="F273">
        <v>7</v>
      </c>
      <c r="G273" s="4">
        <f t="shared" si="25"/>
        <v>1000.7777237907148</v>
      </c>
      <c r="H273" s="1">
        <f t="shared" si="26"/>
        <v>1560.4661205097677</v>
      </c>
      <c r="I273" s="4">
        <f t="shared" si="27"/>
        <v>179712.48007554421</v>
      </c>
      <c r="K273" s="4">
        <f t="shared" si="28"/>
        <v>473809.56188097515</v>
      </c>
      <c r="L273" s="4">
        <f t="shared" si="29"/>
        <v>220287.51992445558</v>
      </c>
      <c r="M273" s="4">
        <f t="shared" si="30"/>
        <v>694097.0818054307</v>
      </c>
    </row>
    <row r="274" spans="5:13" thickTop="1" thickBot="1" x14ac:dyDescent="0.3">
      <c r="F274">
        <v>8</v>
      </c>
      <c r="G274" s="4">
        <f t="shared" si="25"/>
        <v>992.16265041706708</v>
      </c>
      <c r="H274" s="1">
        <f t="shared" si="26"/>
        <v>1569.0811938834154</v>
      </c>
      <c r="I274" s="4">
        <f t="shared" si="27"/>
        <v>178143.3988816608</v>
      </c>
      <c r="K274" s="4">
        <f t="shared" si="28"/>
        <v>474801.72453139222</v>
      </c>
      <c r="L274" s="4">
        <f t="shared" si="29"/>
        <v>221856.60111833899</v>
      </c>
      <c r="M274" s="4">
        <f t="shared" si="30"/>
        <v>696658.32564973121</v>
      </c>
    </row>
    <row r="275" spans="5:13" thickTop="1" thickBot="1" x14ac:dyDescent="0.3">
      <c r="F275">
        <v>9</v>
      </c>
      <c r="G275" s="4">
        <f t="shared" si="25"/>
        <v>983.5000146591691</v>
      </c>
      <c r="H275" s="1">
        <f t="shared" si="26"/>
        <v>1577.7438296413134</v>
      </c>
      <c r="I275" s="4">
        <f t="shared" si="27"/>
        <v>176565.65505201949</v>
      </c>
      <c r="K275" s="4">
        <f t="shared" si="28"/>
        <v>475785.22454605141</v>
      </c>
      <c r="L275" s="4">
        <f t="shared" si="29"/>
        <v>223434.34494798031</v>
      </c>
      <c r="M275" s="4">
        <f t="shared" si="30"/>
        <v>699219.56949403172</v>
      </c>
    </row>
    <row r="276" spans="5:13" thickTop="1" thickBot="1" x14ac:dyDescent="0.3">
      <c r="F276">
        <v>10</v>
      </c>
      <c r="G276" s="4">
        <f t="shared" si="25"/>
        <v>974.78955393302431</v>
      </c>
      <c r="H276" s="1">
        <f t="shared" si="26"/>
        <v>1586.4542903674583</v>
      </c>
      <c r="I276" s="4">
        <f t="shared" si="27"/>
        <v>174979.20076165203</v>
      </c>
      <c r="K276" s="4">
        <f t="shared" si="28"/>
        <v>476760.01409998443</v>
      </c>
      <c r="L276" s="4">
        <f t="shared" si="29"/>
        <v>225020.79923834777</v>
      </c>
      <c r="M276" s="4">
        <f t="shared" si="30"/>
        <v>701780.81333833223</v>
      </c>
    </row>
    <row r="277" spans="5:13" thickTop="1" thickBot="1" x14ac:dyDescent="0.3">
      <c r="F277">
        <v>11</v>
      </c>
      <c r="G277" s="4">
        <f t="shared" si="25"/>
        <v>966.031004204954</v>
      </c>
      <c r="H277" s="1">
        <f t="shared" si="26"/>
        <v>1595.2128400955285</v>
      </c>
      <c r="I277" s="4">
        <f t="shared" si="27"/>
        <v>173383.98792155649</v>
      </c>
      <c r="K277" s="4">
        <f t="shared" si="28"/>
        <v>477726.04510418937</v>
      </c>
      <c r="L277" s="4">
        <f t="shared" si="29"/>
        <v>226616.01207844331</v>
      </c>
      <c r="M277" s="4">
        <f t="shared" si="30"/>
        <v>704342.05718263262</v>
      </c>
    </row>
    <row r="278" spans="5:13" thickTop="1" thickBot="1" x14ac:dyDescent="0.3">
      <c r="F278">
        <v>12</v>
      </c>
      <c r="G278" s="4">
        <f t="shared" si="25"/>
        <v>957.22409998359308</v>
      </c>
      <c r="H278" s="1">
        <f t="shared" si="26"/>
        <v>1604.0197443168895</v>
      </c>
      <c r="I278" s="4">
        <f t="shared" si="27"/>
        <v>171779.96817723959</v>
      </c>
      <c r="K278" s="4">
        <f t="shared" si="28"/>
        <v>478683.26920417295</v>
      </c>
      <c r="L278" s="4">
        <f t="shared" si="29"/>
        <v>228220.03182276021</v>
      </c>
      <c r="M278" s="4">
        <f t="shared" si="30"/>
        <v>706903.30102693313</v>
      </c>
    </row>
    <row r="279" spans="5:13" thickTop="1" thickBot="1" x14ac:dyDescent="0.3">
      <c r="E279" t="s">
        <v>27</v>
      </c>
      <c r="F279">
        <v>1</v>
      </c>
      <c r="G279" s="4">
        <f t="shared" si="25"/>
        <v>948.36857431184353</v>
      </c>
      <c r="H279" s="1">
        <f t="shared" si="26"/>
        <v>1612.875269988639</v>
      </c>
      <c r="I279" s="4">
        <f t="shared" si="27"/>
        <v>170167.09290725095</v>
      </c>
      <c r="K279" s="4">
        <f t="shared" si="28"/>
        <v>479631.63777848479</v>
      </c>
      <c r="L279" s="4">
        <f t="shared" si="29"/>
        <v>229832.90709274885</v>
      </c>
      <c r="M279" s="4">
        <f t="shared" si="30"/>
        <v>709464.54487123364</v>
      </c>
    </row>
    <row r="280" spans="5:13" thickTop="1" thickBot="1" x14ac:dyDescent="0.3">
      <c r="F280">
        <v>2</v>
      </c>
      <c r="G280" s="4">
        <f t="shared" si="25"/>
        <v>939.46415875878131</v>
      </c>
      <c r="H280" s="1">
        <f t="shared" si="26"/>
        <v>1621.7796855417014</v>
      </c>
      <c r="I280" s="4">
        <f t="shared" si="27"/>
        <v>168545.31322170925</v>
      </c>
      <c r="K280" s="4">
        <f t="shared" si="28"/>
        <v>480571.10193724354</v>
      </c>
      <c r="L280" s="4">
        <f t="shared" si="29"/>
        <v>231454.68677829055</v>
      </c>
      <c r="M280" s="4">
        <f t="shared" si="30"/>
        <v>712025.78871553415</v>
      </c>
    </row>
    <row r="281" spans="5:13" thickTop="1" thickBot="1" x14ac:dyDescent="0.3">
      <c r="F281">
        <v>3</v>
      </c>
      <c r="G281" s="4">
        <f t="shared" si="25"/>
        <v>930.51058341151986</v>
      </c>
      <c r="H281" s="1">
        <f t="shared" si="26"/>
        <v>1630.7332608889628</v>
      </c>
      <c r="I281" s="4">
        <f t="shared" si="27"/>
        <v>166914.57996082029</v>
      </c>
      <c r="K281" s="4">
        <f t="shared" si="28"/>
        <v>481501.61252065504</v>
      </c>
      <c r="L281" s="4">
        <f t="shared" si="29"/>
        <v>233085.4200391795</v>
      </c>
      <c r="M281" s="4">
        <f t="shared" si="30"/>
        <v>714587.03255983454</v>
      </c>
    </row>
    <row r="282" spans="5:13" thickTop="1" thickBot="1" x14ac:dyDescent="0.3">
      <c r="F282">
        <v>4</v>
      </c>
      <c r="G282" s="4">
        <f t="shared" si="25"/>
        <v>921.50757686702866</v>
      </c>
      <c r="H282" s="1">
        <f t="shared" si="26"/>
        <v>1639.736267433454</v>
      </c>
      <c r="I282" s="4">
        <f t="shared" si="27"/>
        <v>165274.84369338685</v>
      </c>
      <c r="K282" s="4">
        <f t="shared" si="28"/>
        <v>482423.12009752204</v>
      </c>
      <c r="L282" s="4">
        <f t="shared" si="29"/>
        <v>234725.15630661295</v>
      </c>
      <c r="M282" s="4">
        <f t="shared" si="30"/>
        <v>717148.27640413493</v>
      </c>
    </row>
    <row r="283" spans="5:13" thickTop="1" thickBot="1" x14ac:dyDescent="0.3">
      <c r="F283">
        <v>5</v>
      </c>
      <c r="G283" s="4">
        <f t="shared" si="25"/>
        <v>912.45486622390661</v>
      </c>
      <c r="H283" s="1">
        <f t="shared" si="26"/>
        <v>1648.7889780765759</v>
      </c>
      <c r="I283" s="4">
        <f t="shared" si="27"/>
        <v>163626.05471531028</v>
      </c>
      <c r="K283" s="4">
        <f t="shared" si="28"/>
        <v>483335.57496374595</v>
      </c>
      <c r="L283" s="4">
        <f t="shared" si="29"/>
        <v>236373.94528468951</v>
      </c>
      <c r="M283" s="4">
        <f t="shared" si="30"/>
        <v>719709.52024843544</v>
      </c>
    </row>
    <row r="284" spans="5:13" thickTop="1" thickBot="1" x14ac:dyDescent="0.3">
      <c r="F284">
        <v>6</v>
      </c>
      <c r="G284" s="4">
        <f t="shared" si="25"/>
        <v>903.35217707410891</v>
      </c>
      <c r="H284" s="1">
        <f t="shared" si="26"/>
        <v>1657.8916672263736</v>
      </c>
      <c r="I284" s="4">
        <f t="shared" si="27"/>
        <v>161968.16304808389</v>
      </c>
      <c r="K284" s="4">
        <f t="shared" si="28"/>
        <v>484238.92714082007</v>
      </c>
      <c r="L284" s="4">
        <f t="shared" si="29"/>
        <v>238031.8369519159</v>
      </c>
      <c r="M284" s="4">
        <f t="shared" si="30"/>
        <v>722270.76409273595</v>
      </c>
    </row>
    <row r="285" spans="5:13" thickTop="1" thickBot="1" x14ac:dyDescent="0.3">
      <c r="F285">
        <v>7</v>
      </c>
      <c r="G285" s="4">
        <f t="shared" si="25"/>
        <v>894.19923349462988</v>
      </c>
      <c r="H285" s="1">
        <f t="shared" si="26"/>
        <v>1667.0446108058527</v>
      </c>
      <c r="I285" s="4">
        <f t="shared" si="27"/>
        <v>160301.11843727806</v>
      </c>
      <c r="K285" s="4">
        <f t="shared" si="28"/>
        <v>485133.12637431471</v>
      </c>
      <c r="L285" s="4">
        <f t="shared" si="29"/>
        <v>239698.88156272174</v>
      </c>
      <c r="M285" s="4">
        <f t="shared" si="30"/>
        <v>724832.00793703645</v>
      </c>
    </row>
    <row r="286" spans="5:13" thickTop="1" thickBot="1" x14ac:dyDescent="0.3">
      <c r="F286">
        <v>8</v>
      </c>
      <c r="G286" s="4">
        <f t="shared" si="25"/>
        <v>884.99575803913933</v>
      </c>
      <c r="H286" s="1">
        <f t="shared" si="26"/>
        <v>1676.2480862613434</v>
      </c>
      <c r="I286" s="4">
        <f t="shared" si="27"/>
        <v>158624.87035101673</v>
      </c>
      <c r="K286" s="4">
        <f t="shared" si="28"/>
        <v>486018.12213235383</v>
      </c>
      <c r="L286" s="4">
        <f t="shared" si="29"/>
        <v>241375.12964898307</v>
      </c>
      <c r="M286" s="4">
        <f t="shared" si="30"/>
        <v>727393.25178133696</v>
      </c>
    </row>
    <row r="287" spans="5:13" thickTop="1" thickBot="1" x14ac:dyDescent="0.3">
      <c r="F287">
        <v>9</v>
      </c>
      <c r="G287" s="4">
        <f t="shared" si="25"/>
        <v>875.74147172957157</v>
      </c>
      <c r="H287" s="1">
        <f t="shared" si="26"/>
        <v>1685.5023725709111</v>
      </c>
      <c r="I287" s="4">
        <f t="shared" si="27"/>
        <v>156939.36797844581</v>
      </c>
      <c r="K287" s="4">
        <f t="shared" si="28"/>
        <v>486893.86360408342</v>
      </c>
      <c r="L287" s="4">
        <f t="shared" si="29"/>
        <v>243060.63202155399</v>
      </c>
      <c r="M287" s="4">
        <f t="shared" si="30"/>
        <v>729954.49562563747</v>
      </c>
    </row>
    <row r="288" spans="5:13" thickTop="1" thickBot="1" x14ac:dyDescent="0.3">
      <c r="F288">
        <v>10</v>
      </c>
      <c r="G288" s="4">
        <f t="shared" si="25"/>
        <v>866.4360940476696</v>
      </c>
      <c r="H288" s="1">
        <f t="shared" si="26"/>
        <v>1694.8077502528131</v>
      </c>
      <c r="I288" s="4">
        <f t="shared" si="27"/>
        <v>155244.560228193</v>
      </c>
      <c r="K288" s="4">
        <f t="shared" si="28"/>
        <v>487760.2996981311</v>
      </c>
      <c r="L288" s="4">
        <f t="shared" si="29"/>
        <v>244755.43977180679</v>
      </c>
      <c r="M288" s="4">
        <f t="shared" si="30"/>
        <v>732515.73946993786</v>
      </c>
    </row>
    <row r="289" spans="5:13" thickTop="1" thickBot="1" x14ac:dyDescent="0.3">
      <c r="F289">
        <v>11</v>
      </c>
      <c r="G289" s="4">
        <f t="shared" si="25"/>
        <v>857.07934292648224</v>
      </c>
      <c r="H289" s="1">
        <f t="shared" si="26"/>
        <v>1704.1645013740003</v>
      </c>
      <c r="I289" s="4">
        <f t="shared" si="27"/>
        <v>153540.395726819</v>
      </c>
      <c r="K289" s="4">
        <f t="shared" si="28"/>
        <v>488617.3790410576</v>
      </c>
      <c r="L289" s="4">
        <f t="shared" si="29"/>
        <v>246459.6042731808</v>
      </c>
      <c r="M289" s="4">
        <f t="shared" si="30"/>
        <v>735076.98331423837</v>
      </c>
    </row>
    <row r="290" spans="5:13" thickTop="1" thickBot="1" x14ac:dyDescent="0.3">
      <c r="F290">
        <v>12</v>
      </c>
      <c r="G290" s="4">
        <f t="shared" si="25"/>
        <v>847.6709347418132</v>
      </c>
      <c r="H290" s="1">
        <f t="shared" si="26"/>
        <v>1713.5729095586694</v>
      </c>
      <c r="I290" s="4">
        <f t="shared" si="27"/>
        <v>151826.82281726034</v>
      </c>
      <c r="K290" s="4">
        <f t="shared" si="28"/>
        <v>489465.0499757994</v>
      </c>
      <c r="L290" s="4">
        <f t="shared" si="29"/>
        <v>248173.17718273946</v>
      </c>
      <c r="M290" s="4">
        <f t="shared" si="30"/>
        <v>737638.22715853888</v>
      </c>
    </row>
    <row r="291" spans="5:13" thickTop="1" thickBot="1" x14ac:dyDescent="0.3">
      <c r="E291" t="s">
        <v>29</v>
      </c>
      <c r="F291">
        <v>1</v>
      </c>
      <c r="G291" s="4">
        <f t="shared" si="25"/>
        <v>838.21058430362484</v>
      </c>
      <c r="H291" s="1">
        <f t="shared" si="26"/>
        <v>1723.0332599968579</v>
      </c>
      <c r="I291" s="4">
        <f t="shared" si="27"/>
        <v>150103.78955726349</v>
      </c>
      <c r="K291" s="4">
        <f t="shared" si="28"/>
        <v>490303.26056010299</v>
      </c>
      <c r="L291" s="4">
        <f t="shared" si="29"/>
        <v>249896.21044273631</v>
      </c>
      <c r="M291" s="4">
        <f t="shared" si="30"/>
        <v>740199.47100283927</v>
      </c>
    </row>
    <row r="292" spans="5:13" thickTop="1" thickBot="1" x14ac:dyDescent="0.3">
      <c r="F292">
        <v>2</v>
      </c>
      <c r="G292" s="4">
        <f t="shared" si="25"/>
        <v>828.69800484739233</v>
      </c>
      <c r="H292" s="1">
        <f t="shared" si="26"/>
        <v>1732.5458394530901</v>
      </c>
      <c r="I292" s="4">
        <f t="shared" si="27"/>
        <v>148371.2437178104</v>
      </c>
      <c r="K292" s="4">
        <f t="shared" si="28"/>
        <v>491131.95856495039</v>
      </c>
      <c r="L292" s="4">
        <f t="shared" si="29"/>
        <v>251628.7562821894</v>
      </c>
      <c r="M292" s="4">
        <f t="shared" si="30"/>
        <v>742760.71484713978</v>
      </c>
    </row>
    <row r="293" spans="5:13" thickTop="1" thickBot="1" x14ac:dyDescent="0.3">
      <c r="F293">
        <v>3</v>
      </c>
      <c r="G293" s="4">
        <f t="shared" si="25"/>
        <v>819.13290802541167</v>
      </c>
      <c r="H293" s="1">
        <f t="shared" si="26"/>
        <v>1742.1109362750708</v>
      </c>
      <c r="I293" s="4">
        <f t="shared" si="27"/>
        <v>146629.13278153533</v>
      </c>
      <c r="K293" s="4">
        <f t="shared" si="28"/>
        <v>491951.09147297579</v>
      </c>
      <c r="L293" s="4">
        <f t="shared" si="29"/>
        <v>253370.86721846447</v>
      </c>
      <c r="M293" s="4">
        <f t="shared" si="30"/>
        <v>745321.95869144029</v>
      </c>
    </row>
    <row r="294" spans="5:13" thickTop="1" thickBot="1" x14ac:dyDescent="0.3">
      <c r="F294">
        <v>4</v>
      </c>
      <c r="G294" s="4">
        <f t="shared" si="25"/>
        <v>809.5150038980596</v>
      </c>
      <c r="H294" s="1">
        <f t="shared" si="26"/>
        <v>1751.728840402423</v>
      </c>
      <c r="I294" s="4">
        <f t="shared" si="27"/>
        <v>144877.40394113291</v>
      </c>
      <c r="K294" s="4">
        <f t="shared" si="28"/>
        <v>492760.60647687386</v>
      </c>
      <c r="L294" s="4">
        <f t="shared" si="29"/>
        <v>255122.59605886688</v>
      </c>
      <c r="M294" s="4">
        <f t="shared" si="30"/>
        <v>747883.2025357408</v>
      </c>
    </row>
    <row r="295" spans="5:13" thickTop="1" thickBot="1" x14ac:dyDescent="0.3">
      <c r="F295">
        <v>5</v>
      </c>
      <c r="G295" s="4">
        <f t="shared" si="25"/>
        <v>799.84400092500471</v>
      </c>
      <c r="H295" s="1">
        <f t="shared" si="26"/>
        <v>1761.3998433754778</v>
      </c>
      <c r="I295" s="4">
        <f t="shared" si="27"/>
        <v>143116.00409775742</v>
      </c>
      <c r="K295" s="4">
        <f t="shared" si="28"/>
        <v>493560.45047779888</v>
      </c>
      <c r="L295" s="4">
        <f t="shared" si="29"/>
        <v>256883.99590224237</v>
      </c>
      <c r="M295" s="4">
        <f t="shared" si="30"/>
        <v>750444.44638004131</v>
      </c>
    </row>
    <row r="296" spans="5:13" thickTop="1" thickBot="1" x14ac:dyDescent="0.3">
      <c r="F296">
        <v>6</v>
      </c>
      <c r="G296" s="4">
        <f t="shared" si="25"/>
        <v>790.11960595636913</v>
      </c>
      <c r="H296" s="1">
        <f t="shared" si="26"/>
        <v>1771.1242383441136</v>
      </c>
      <c r="I296" s="4">
        <f t="shared" si="27"/>
        <v>141344.87985941331</v>
      </c>
      <c r="K296" s="4">
        <f t="shared" si="28"/>
        <v>494350.57008375524</v>
      </c>
      <c r="L296" s="4">
        <f t="shared" si="29"/>
        <v>258655.12014058648</v>
      </c>
      <c r="M296" s="4">
        <f t="shared" si="30"/>
        <v>753005.6902243417</v>
      </c>
    </row>
    <row r="297" spans="5:13" thickTop="1" thickBot="1" x14ac:dyDescent="0.3">
      <c r="F297">
        <v>7</v>
      </c>
      <c r="G297" s="4">
        <f t="shared" si="25"/>
        <v>780.34152422384432</v>
      </c>
      <c r="H297" s="1">
        <f t="shared" si="26"/>
        <v>1780.9023200766383</v>
      </c>
      <c r="I297" s="4">
        <f t="shared" si="27"/>
        <v>139563.97753933669</v>
      </c>
      <c r="K297" s="4">
        <f t="shared" si="28"/>
        <v>495130.9116079791</v>
      </c>
      <c r="L297" s="4">
        <f t="shared" si="29"/>
        <v>260436.02246066311</v>
      </c>
      <c r="M297" s="4">
        <f t="shared" si="30"/>
        <v>755566.93406864221</v>
      </c>
    </row>
    <row r="298" spans="5:13" thickTop="1" thickBot="1" x14ac:dyDescent="0.3">
      <c r="F298">
        <v>8</v>
      </c>
      <c r="G298" s="4">
        <f t="shared" si="25"/>
        <v>770.50945933175456</v>
      </c>
      <c r="H298" s="1">
        <f t="shared" si="26"/>
        <v>1790.7343849687281</v>
      </c>
      <c r="I298" s="4">
        <f t="shared" si="27"/>
        <v>137773.24315436796</v>
      </c>
      <c r="K298" s="4">
        <f t="shared" si="28"/>
        <v>495901.42106731085</v>
      </c>
      <c r="L298" s="4">
        <f t="shared" si="29"/>
        <v>262226.75684563181</v>
      </c>
      <c r="M298" s="4">
        <f t="shared" si="30"/>
        <v>758128.1779129426</v>
      </c>
    </row>
    <row r="299" spans="5:13" thickTop="1" thickBot="1" x14ac:dyDescent="0.3">
      <c r="F299">
        <v>9</v>
      </c>
      <c r="G299" s="4">
        <f t="shared" si="25"/>
        <v>760.62311324807308</v>
      </c>
      <c r="H299" s="1">
        <f t="shared" si="26"/>
        <v>1800.6207310524096</v>
      </c>
      <c r="I299" s="4">
        <f t="shared" si="27"/>
        <v>135972.62242331554</v>
      </c>
      <c r="K299" s="4">
        <f t="shared" si="28"/>
        <v>496662.04418055894</v>
      </c>
      <c r="L299" s="4">
        <f t="shared" si="29"/>
        <v>264027.37757668423</v>
      </c>
      <c r="M299" s="4">
        <f t="shared" si="30"/>
        <v>760689.42175724311</v>
      </c>
    </row>
    <row r="300" spans="5:13" thickTop="1" thickBot="1" x14ac:dyDescent="0.3">
      <c r="F300">
        <v>10</v>
      </c>
      <c r="G300" s="4">
        <f t="shared" si="25"/>
        <v>750.68218629538796</v>
      </c>
      <c r="H300" s="1">
        <f t="shared" si="26"/>
        <v>1810.5616580050946</v>
      </c>
      <c r="I300" s="4">
        <f t="shared" si="27"/>
        <v>134162.06076531045</v>
      </c>
      <c r="K300" s="4">
        <f t="shared" si="28"/>
        <v>497412.72636685433</v>
      </c>
      <c r="L300" s="4">
        <f t="shared" si="29"/>
        <v>265837.93923468934</v>
      </c>
      <c r="M300" s="4">
        <f t="shared" si="30"/>
        <v>763250.66560154362</v>
      </c>
    </row>
    <row r="301" spans="5:13" thickTop="1" thickBot="1" x14ac:dyDescent="0.3">
      <c r="F301">
        <v>11</v>
      </c>
      <c r="G301" s="4">
        <f t="shared" si="25"/>
        <v>740.68637714181807</v>
      </c>
      <c r="H301" s="1">
        <f t="shared" si="26"/>
        <v>1820.5574671586646</v>
      </c>
      <c r="I301" s="4">
        <f t="shared" si="27"/>
        <v>132341.5032981518</v>
      </c>
      <c r="K301" s="4">
        <f t="shared" si="28"/>
        <v>498153.41274399613</v>
      </c>
      <c r="L301" s="4">
        <f t="shared" si="29"/>
        <v>267658.49670184799</v>
      </c>
      <c r="M301" s="4">
        <f t="shared" si="30"/>
        <v>765811.90944584413</v>
      </c>
    </row>
    <row r="302" spans="5:13" thickTop="1" thickBot="1" x14ac:dyDescent="0.3">
      <c r="F302">
        <v>12</v>
      </c>
      <c r="G302" s="4">
        <f t="shared" si="25"/>
        <v>730.63538279187981</v>
      </c>
      <c r="H302" s="1">
        <f t="shared" si="26"/>
        <v>1830.6084615086029</v>
      </c>
      <c r="I302" s="4">
        <f t="shared" si="27"/>
        <v>130510.8948366432</v>
      </c>
      <c r="K302" s="4">
        <f t="shared" si="28"/>
        <v>498884.04812678799</v>
      </c>
      <c r="L302" s="4">
        <f t="shared" si="29"/>
        <v>269489.10516335658</v>
      </c>
      <c r="M302" s="4">
        <f t="shared" si="30"/>
        <v>768373.15329014463</v>
      </c>
    </row>
    <row r="303" spans="5:13" thickTop="1" thickBot="1" x14ac:dyDescent="0.3">
      <c r="E303" t="s">
        <v>35</v>
      </c>
      <c r="F303">
        <v>1</v>
      </c>
      <c r="G303" s="4">
        <f t="shared" si="25"/>
        <v>720.52889857730099</v>
      </c>
      <c r="H303" s="1">
        <f t="shared" si="26"/>
        <v>1840.7149457231817</v>
      </c>
      <c r="I303" s="4">
        <f t="shared" si="27"/>
        <v>128670.17989092002</v>
      </c>
      <c r="K303" s="4">
        <f t="shared" si="28"/>
        <v>499604.57702536532</v>
      </c>
      <c r="L303" s="4">
        <f t="shared" si="29"/>
        <v>271329.82010907977</v>
      </c>
      <c r="M303" s="4">
        <f t="shared" si="30"/>
        <v>770934.39713444514</v>
      </c>
    </row>
    <row r="304" spans="5:13" thickTop="1" thickBot="1" x14ac:dyDescent="0.3">
      <c r="F304">
        <v>2</v>
      </c>
      <c r="G304" s="4">
        <f t="shared" si="25"/>
        <v>710.36661814778756</v>
      </c>
      <c r="H304" s="1">
        <f t="shared" si="26"/>
        <v>1850.8772261526951</v>
      </c>
      <c r="I304" s="4">
        <f t="shared" si="27"/>
        <v>126819.30266476733</v>
      </c>
      <c r="K304" s="4">
        <f t="shared" si="28"/>
        <v>500314.94364351308</v>
      </c>
      <c r="L304" s="4">
        <f t="shared" si="29"/>
        <v>273180.69733523246</v>
      </c>
      <c r="M304" s="4">
        <f t="shared" si="30"/>
        <v>773495.64097874553</v>
      </c>
    </row>
    <row r="305" spans="5:13" thickTop="1" thickBot="1" x14ac:dyDescent="0.3">
      <c r="F305">
        <v>3</v>
      </c>
      <c r="G305" s="4">
        <f t="shared" si="25"/>
        <v>700.14823346173625</v>
      </c>
      <c r="H305" s="1">
        <f t="shared" si="26"/>
        <v>1861.0956108387463</v>
      </c>
      <c r="I305" s="4">
        <f t="shared" si="27"/>
        <v>124958.20705392858</v>
      </c>
      <c r="K305" s="4">
        <f t="shared" si="28"/>
        <v>501015.0918769748</v>
      </c>
      <c r="L305" s="4">
        <f t="shared" si="29"/>
        <v>275041.79294607119</v>
      </c>
      <c r="M305" s="4">
        <f t="shared" si="30"/>
        <v>776056.88482304593</v>
      </c>
    </row>
    <row r="306" spans="5:13" thickTop="1" thickBot="1" x14ac:dyDescent="0.3">
      <c r="F306">
        <v>4</v>
      </c>
      <c r="G306" s="4">
        <f t="shared" si="25"/>
        <v>689.8734347768974</v>
      </c>
      <c r="H306" s="1">
        <f t="shared" si="26"/>
        <v>1871.3704095235853</v>
      </c>
      <c r="I306" s="4">
        <f t="shared" si="27"/>
        <v>123086.83664440499</v>
      </c>
      <c r="K306" s="4">
        <f t="shared" si="28"/>
        <v>501704.9653117517</v>
      </c>
      <c r="L306" s="4">
        <f t="shared" si="29"/>
        <v>276913.16335559479</v>
      </c>
      <c r="M306" s="4">
        <f t="shared" si="30"/>
        <v>778618.12866734643</v>
      </c>
    </row>
    <row r="307" spans="5:13" thickTop="1" thickBot="1" x14ac:dyDescent="0.3">
      <c r="F307">
        <v>5</v>
      </c>
      <c r="G307" s="4">
        <f t="shared" si="25"/>
        <v>679.54191064098598</v>
      </c>
      <c r="H307" s="1">
        <f t="shared" si="26"/>
        <v>1881.7019336594967</v>
      </c>
      <c r="I307" s="4">
        <f t="shared" si="27"/>
        <v>121205.13471074549</v>
      </c>
      <c r="K307" s="4">
        <f t="shared" si="28"/>
        <v>502384.50722239271</v>
      </c>
      <c r="L307" s="4">
        <f t="shared" si="29"/>
        <v>278794.86528925429</v>
      </c>
      <c r="M307" s="4">
        <f t="shared" si="30"/>
        <v>781179.37251164694</v>
      </c>
    </row>
    <row r="308" spans="5:13" thickTop="1" thickBot="1" x14ac:dyDescent="0.3">
      <c r="F308">
        <v>6</v>
      </c>
      <c r="G308" s="4">
        <f t="shared" si="25"/>
        <v>669.15334788224084</v>
      </c>
      <c r="H308" s="1">
        <f t="shared" si="26"/>
        <v>1892.0904964182419</v>
      </c>
      <c r="I308" s="4">
        <f t="shared" si="27"/>
        <v>119313.04421432725</v>
      </c>
      <c r="K308" s="4">
        <f t="shared" si="28"/>
        <v>503053.66057027498</v>
      </c>
      <c r="L308" s="4">
        <f t="shared" si="29"/>
        <v>280686.95578567253</v>
      </c>
      <c r="M308" s="4">
        <f t="shared" si="30"/>
        <v>783740.61635594745</v>
      </c>
    </row>
    <row r="309" spans="5:13" thickTop="1" thickBot="1" x14ac:dyDescent="0.3">
      <c r="F309">
        <v>7</v>
      </c>
      <c r="G309" s="4">
        <f t="shared" si="25"/>
        <v>658.70743159993174</v>
      </c>
      <c r="H309" s="1">
        <f t="shared" si="26"/>
        <v>1902.536412700551</v>
      </c>
      <c r="I309" s="4">
        <f t="shared" si="27"/>
        <v>117410.50780162671</v>
      </c>
      <c r="K309" s="4">
        <f t="shared" si="28"/>
        <v>503712.36800187489</v>
      </c>
      <c r="L309" s="4">
        <f t="shared" si="29"/>
        <v>282589.49219837307</v>
      </c>
      <c r="M309" s="4">
        <f t="shared" si="30"/>
        <v>786301.86020024796</v>
      </c>
    </row>
    <row r="310" spans="5:13" thickTop="1" thickBot="1" x14ac:dyDescent="0.3">
      <c r="F310">
        <v>8</v>
      </c>
      <c r="G310" s="4">
        <f t="shared" si="25"/>
        <v>648.20384515481408</v>
      </c>
      <c r="H310" s="1">
        <f t="shared" si="26"/>
        <v>1913.0399991456684</v>
      </c>
      <c r="I310" s="4">
        <f t="shared" si="27"/>
        <v>115497.46780248104</v>
      </c>
      <c r="K310" s="4">
        <f t="shared" si="28"/>
        <v>504360.57184702967</v>
      </c>
      <c r="L310" s="4">
        <f t="shared" si="29"/>
        <v>284502.53219751874</v>
      </c>
      <c r="M310" s="4">
        <f t="shared" si="30"/>
        <v>788863.10404454847</v>
      </c>
    </row>
    <row r="311" spans="5:13" thickTop="1" thickBot="1" x14ac:dyDescent="0.3">
      <c r="F311">
        <v>9</v>
      </c>
      <c r="G311" s="4">
        <f t="shared" ref="G311:G362" si="31">I310*$B$3/12</f>
        <v>637.64227015953077</v>
      </c>
      <c r="H311" s="1">
        <f t="shared" si="26"/>
        <v>1923.6015741409519</v>
      </c>
      <c r="I311" s="4">
        <f t="shared" si="27"/>
        <v>113573.86622834009</v>
      </c>
      <c r="K311" s="4">
        <f t="shared" si="28"/>
        <v>504998.21411718923</v>
      </c>
      <c r="L311" s="4">
        <f t="shared" si="29"/>
        <v>286426.13377165969</v>
      </c>
      <c r="M311" s="4">
        <f t="shared" si="30"/>
        <v>791424.34788884898</v>
      </c>
    </row>
    <row r="312" spans="5:13" thickTop="1" thickBot="1" x14ac:dyDescent="0.3">
      <c r="F312">
        <v>10</v>
      </c>
      <c r="G312" s="4">
        <f t="shared" si="31"/>
        <v>627.02238646896092</v>
      </c>
      <c r="H312" s="1">
        <f t="shared" si="26"/>
        <v>1934.2214578315215</v>
      </c>
      <c r="I312" s="4">
        <f t="shared" si="27"/>
        <v>111639.64477050857</v>
      </c>
      <c r="K312" s="4">
        <f t="shared" si="28"/>
        <v>505625.23650365818</v>
      </c>
      <c r="L312" s="4">
        <f t="shared" si="29"/>
        <v>288360.35522949119</v>
      </c>
      <c r="M312" s="4">
        <f t="shared" si="30"/>
        <v>793985.59173314937</v>
      </c>
    </row>
    <row r="313" spans="5:13" thickTop="1" thickBot="1" x14ac:dyDescent="0.3">
      <c r="F313">
        <v>11</v>
      </c>
      <c r="G313" s="4">
        <f t="shared" si="31"/>
        <v>616.34387217051608</v>
      </c>
      <c r="H313" s="1">
        <f t="shared" si="26"/>
        <v>1944.8999721299665</v>
      </c>
      <c r="I313" s="4">
        <f t="shared" si="27"/>
        <v>109694.74479837861</v>
      </c>
      <c r="K313" s="4">
        <f t="shared" si="28"/>
        <v>506241.58037582866</v>
      </c>
      <c r="L313" s="4">
        <f t="shared" si="29"/>
        <v>290305.25520162116</v>
      </c>
      <c r="M313" s="4">
        <f t="shared" si="30"/>
        <v>796546.83557744976</v>
      </c>
    </row>
    <row r="314" spans="5:13" thickTop="1" thickBot="1" x14ac:dyDescent="0.3">
      <c r="F314">
        <v>12</v>
      </c>
      <c r="G314" s="4">
        <f t="shared" si="31"/>
        <v>605.60640357438194</v>
      </c>
      <c r="H314" s="1">
        <f t="shared" si="26"/>
        <v>1955.6374407261005</v>
      </c>
      <c r="I314" s="4">
        <f t="shared" si="27"/>
        <v>107739.10735765251</v>
      </c>
      <c r="K314" s="4">
        <f t="shared" si="28"/>
        <v>506847.18677940307</v>
      </c>
      <c r="L314" s="4">
        <f t="shared" si="29"/>
        <v>292260.89264234726</v>
      </c>
      <c r="M314" s="4">
        <f t="shared" si="30"/>
        <v>799108.07942175027</v>
      </c>
    </row>
    <row r="315" spans="5:13" thickTop="1" thickBot="1" x14ac:dyDescent="0.3">
      <c r="E315" t="s">
        <v>36</v>
      </c>
      <c r="F315">
        <v>1</v>
      </c>
      <c r="G315" s="4">
        <f t="shared" si="31"/>
        <v>594.8096552037066</v>
      </c>
      <c r="H315" s="1">
        <f t="shared" si="26"/>
        <v>1966.434189096776</v>
      </c>
      <c r="I315" s="4">
        <f t="shared" si="27"/>
        <v>105772.67316855573</v>
      </c>
      <c r="K315" s="4">
        <f t="shared" si="28"/>
        <v>507441.99643460679</v>
      </c>
      <c r="L315" s="4">
        <f t="shared" si="29"/>
        <v>294227.32683144405</v>
      </c>
      <c r="M315" s="4">
        <f t="shared" si="30"/>
        <v>801669.32326605078</v>
      </c>
    </row>
    <row r="316" spans="5:13" thickTop="1" thickBot="1" x14ac:dyDescent="0.3">
      <c r="F316">
        <v>2</v>
      </c>
      <c r="G316" s="4">
        <f t="shared" si="31"/>
        <v>583.95329978473478</v>
      </c>
      <c r="H316" s="1">
        <f t="shared" si="26"/>
        <v>1977.2905445157478</v>
      </c>
      <c r="I316" s="4">
        <f t="shared" si="27"/>
        <v>103795.38262403998</v>
      </c>
      <c r="K316" s="4">
        <f t="shared" si="28"/>
        <v>508025.94973439153</v>
      </c>
      <c r="L316" s="4">
        <f t="shared" si="29"/>
        <v>296204.61737595982</v>
      </c>
      <c r="M316" s="4">
        <f t="shared" si="30"/>
        <v>804230.56711035129</v>
      </c>
    </row>
    <row r="317" spans="5:13" thickTop="1" thickBot="1" x14ac:dyDescent="0.3">
      <c r="F317">
        <v>3</v>
      </c>
      <c r="G317" s="4">
        <f t="shared" si="31"/>
        <v>573.03700823688735</v>
      </c>
      <c r="H317" s="1">
        <f t="shared" si="26"/>
        <v>1988.2068360635953</v>
      </c>
      <c r="I317" s="4">
        <f t="shared" si="27"/>
        <v>101807.17578797639</v>
      </c>
      <c r="K317" s="4">
        <f t="shared" si="28"/>
        <v>508598.98674262839</v>
      </c>
      <c r="L317" s="4">
        <f t="shared" si="29"/>
        <v>298192.82421202341</v>
      </c>
      <c r="M317" s="4">
        <f t="shared" si="30"/>
        <v>806791.8109546518</v>
      </c>
    </row>
    <row r="318" spans="5:13" thickTop="1" thickBot="1" x14ac:dyDescent="0.3">
      <c r="F318">
        <v>4</v>
      </c>
      <c r="G318" s="4">
        <f t="shared" si="31"/>
        <v>562.06044966278637</v>
      </c>
      <c r="H318" s="1">
        <f t="shared" si="26"/>
        <v>1999.1833946376962</v>
      </c>
      <c r="I318" s="4">
        <f t="shared" si="27"/>
        <v>99807.992393338689</v>
      </c>
      <c r="K318" s="4">
        <f t="shared" si="28"/>
        <v>509161.04719229118</v>
      </c>
      <c r="L318" s="4">
        <f t="shared" si="29"/>
        <v>300192.00760666112</v>
      </c>
      <c r="M318" s="4">
        <f t="shared" si="30"/>
        <v>809353.0547989523</v>
      </c>
    </row>
    <row r="319" spans="5:13" thickTop="1" thickBot="1" x14ac:dyDescent="0.3">
      <c r="F319">
        <v>5</v>
      </c>
      <c r="G319" s="4">
        <f t="shared" si="31"/>
        <v>551.02329133822411</v>
      </c>
      <c r="H319" s="1">
        <f t="shared" si="26"/>
        <v>2010.2205529622584</v>
      </c>
      <c r="I319" s="4">
        <f t="shared" si="27"/>
        <v>97797.77184037643</v>
      </c>
      <c r="K319" s="4">
        <f t="shared" si="28"/>
        <v>509712.07048362942</v>
      </c>
      <c r="L319" s="4">
        <f t="shared" si="29"/>
        <v>302202.2281596234</v>
      </c>
      <c r="M319" s="4">
        <f t="shared" si="30"/>
        <v>811914.29864325281</v>
      </c>
    </row>
    <row r="320" spans="5:13" thickTop="1" thickBot="1" x14ac:dyDescent="0.3">
      <c r="F320">
        <v>6</v>
      </c>
      <c r="G320" s="4">
        <f t="shared" si="31"/>
        <v>539.92519870207821</v>
      </c>
      <c r="H320" s="1">
        <f t="shared" si="26"/>
        <v>2021.3186455984044</v>
      </c>
      <c r="I320" s="4">
        <f t="shared" si="27"/>
        <v>95776.45319477802</v>
      </c>
      <c r="K320" s="4">
        <f t="shared" si="28"/>
        <v>510251.9956823315</v>
      </c>
      <c r="L320" s="4">
        <f t="shared" si="29"/>
        <v>304223.54680522182</v>
      </c>
      <c r="M320" s="4">
        <f t="shared" si="30"/>
        <v>814475.54248755332</v>
      </c>
    </row>
    <row r="321" spans="5:13" thickTop="1" thickBot="1" x14ac:dyDescent="0.3">
      <c r="F321">
        <v>7</v>
      </c>
      <c r="G321" s="4">
        <f t="shared" si="31"/>
        <v>528.76583534617032</v>
      </c>
      <c r="H321" s="1">
        <f t="shared" si="26"/>
        <v>2032.4780089543124</v>
      </c>
      <c r="I321" s="4">
        <f t="shared" si="27"/>
        <v>93743.975185823714</v>
      </c>
      <c r="K321" s="4">
        <f t="shared" si="28"/>
        <v>510780.76151767769</v>
      </c>
      <c r="L321" s="4">
        <f t="shared" si="29"/>
        <v>306256.02481417614</v>
      </c>
      <c r="M321" s="4">
        <f t="shared" si="30"/>
        <v>817036.78633185383</v>
      </c>
    </row>
    <row r="322" spans="5:13" thickTop="1" thickBot="1" x14ac:dyDescent="0.3">
      <c r="F322">
        <v>8</v>
      </c>
      <c r="G322" s="4">
        <f t="shared" si="31"/>
        <v>517.54486300506846</v>
      </c>
      <c r="H322" s="1">
        <f t="shared" si="26"/>
        <v>2043.6989812954141</v>
      </c>
      <c r="I322" s="4">
        <f t="shared" si="27"/>
        <v>91700.276204528302</v>
      </c>
      <c r="K322" s="4">
        <f t="shared" si="28"/>
        <v>511298.30638068274</v>
      </c>
      <c r="L322" s="4">
        <f t="shared" si="29"/>
        <v>308299.72379547154</v>
      </c>
      <c r="M322" s="4">
        <f t="shared" si="30"/>
        <v>819598.03017615434</v>
      </c>
    </row>
    <row r="323" spans="5:13" thickTop="1" thickBot="1" x14ac:dyDescent="0.3">
      <c r="F323">
        <v>9</v>
      </c>
      <c r="G323" s="4">
        <f t="shared" si="31"/>
        <v>506.26194154583339</v>
      </c>
      <c r="H323" s="1">
        <f t="shared" si="26"/>
        <v>2054.9819027546491</v>
      </c>
      <c r="I323" s="4">
        <f t="shared" si="27"/>
        <v>89645.294301773654</v>
      </c>
      <c r="K323" s="4">
        <f t="shared" si="28"/>
        <v>511804.56832222856</v>
      </c>
      <c r="L323" s="4">
        <f t="shared" si="29"/>
        <v>310354.70569822617</v>
      </c>
      <c r="M323" s="4">
        <f t="shared" si="30"/>
        <v>822159.27402045473</v>
      </c>
    </row>
    <row r="324" spans="5:13" thickTop="1" thickBot="1" x14ac:dyDescent="0.3">
      <c r="F324">
        <v>10</v>
      </c>
      <c r="G324" s="4">
        <f t="shared" si="31"/>
        <v>494.91672895770876</v>
      </c>
      <c r="H324" s="1">
        <f t="shared" ref="H324:H362" si="32">IF($B$5+$B$6&gt;=I323+G324, I323, ($B$5+$B$6)-G324)</f>
        <v>2066.3271153427741</v>
      </c>
      <c r="I324" s="4">
        <f t="shared" si="27"/>
        <v>87578.967186430877</v>
      </c>
      <c r="K324" s="4">
        <f t="shared" si="28"/>
        <v>512299.48505118629</v>
      </c>
      <c r="L324" s="4">
        <f t="shared" si="29"/>
        <v>312421.03281356895</v>
      </c>
      <c r="M324" s="4">
        <f t="shared" si="30"/>
        <v>824720.51786475524</v>
      </c>
    </row>
    <row r="325" spans="5:13" thickTop="1" thickBot="1" x14ac:dyDescent="0.3">
      <c r="F325">
        <v>11</v>
      </c>
      <c r="G325" s="4">
        <f t="shared" si="31"/>
        <v>483.50888134175381</v>
      </c>
      <c r="H325" s="1">
        <f t="shared" si="32"/>
        <v>2077.7349629587288</v>
      </c>
      <c r="I325" s="4">
        <f t="shared" ref="I325:I362" si="33">MAX(I324-H325, 0)</f>
        <v>85501.232223472151</v>
      </c>
      <c r="K325" s="4">
        <f t="shared" ref="K325:K362" si="34">G325+K324</f>
        <v>512782.99393252807</v>
      </c>
      <c r="L325" s="4">
        <f t="shared" ref="L325:L362" si="35">H325+L324</f>
        <v>314498.76777652767</v>
      </c>
      <c r="M325" s="4">
        <f t="shared" ref="M325:M362" si="36">L325+K325</f>
        <v>827281.76170905575</v>
      </c>
    </row>
    <row r="326" spans="5:13" thickTop="1" thickBot="1" x14ac:dyDescent="0.3">
      <c r="F326">
        <v>12</v>
      </c>
      <c r="G326" s="4">
        <f t="shared" si="31"/>
        <v>472.03805290041919</v>
      </c>
      <c r="H326" s="1">
        <f t="shared" si="32"/>
        <v>2089.2057914000634</v>
      </c>
      <c r="I326" s="4">
        <f t="shared" si="33"/>
        <v>83412.026432072089</v>
      </c>
      <c r="K326" s="4">
        <f t="shared" si="34"/>
        <v>513255.03198542848</v>
      </c>
      <c r="L326" s="4">
        <f t="shared" si="35"/>
        <v>316587.97356792772</v>
      </c>
      <c r="M326" s="4">
        <f t="shared" si="36"/>
        <v>829843.00555335614</v>
      </c>
    </row>
    <row r="327" spans="5:13" thickTop="1" thickBot="1" x14ac:dyDescent="0.3">
      <c r="E327" t="s">
        <v>37</v>
      </c>
      <c r="F327">
        <v>1</v>
      </c>
      <c r="G327" s="4">
        <f t="shared" si="31"/>
        <v>460.50389592706466</v>
      </c>
      <c r="H327" s="1">
        <f t="shared" si="32"/>
        <v>2100.739948373418</v>
      </c>
      <c r="I327" s="4">
        <f t="shared" si="33"/>
        <v>81311.28648369867</v>
      </c>
      <c r="K327" s="4">
        <f t="shared" si="34"/>
        <v>513715.53588135552</v>
      </c>
      <c r="L327" s="4">
        <f t="shared" si="35"/>
        <v>318688.71351630113</v>
      </c>
      <c r="M327" s="4">
        <f t="shared" si="36"/>
        <v>832404.24939765665</v>
      </c>
    </row>
    <row r="328" spans="5:13" thickTop="1" thickBot="1" x14ac:dyDescent="0.3">
      <c r="F328">
        <v>2</v>
      </c>
      <c r="G328" s="4">
        <f t="shared" si="31"/>
        <v>448.90606079541976</v>
      </c>
      <c r="H328" s="1">
        <f t="shared" si="32"/>
        <v>2112.3377835050628</v>
      </c>
      <c r="I328" s="4">
        <f t="shared" si="33"/>
        <v>79198.948700193607</v>
      </c>
      <c r="K328" s="4">
        <f t="shared" si="34"/>
        <v>514164.44194215094</v>
      </c>
      <c r="L328" s="4">
        <f t="shared" si="35"/>
        <v>320801.05129980616</v>
      </c>
      <c r="M328" s="4">
        <f t="shared" si="36"/>
        <v>834965.49324195716</v>
      </c>
    </row>
    <row r="329" spans="5:13" thickTop="1" thickBot="1" x14ac:dyDescent="0.3">
      <c r="F329">
        <v>3</v>
      </c>
      <c r="G329" s="4">
        <f t="shared" si="31"/>
        <v>437.24419594898558</v>
      </c>
      <c r="H329" s="1">
        <f t="shared" si="32"/>
        <v>2123.9996483514969</v>
      </c>
      <c r="I329" s="4">
        <f t="shared" si="33"/>
        <v>77074.949051842108</v>
      </c>
      <c r="K329" s="4">
        <f t="shared" si="34"/>
        <v>514601.68613809993</v>
      </c>
      <c r="L329" s="4">
        <f t="shared" si="35"/>
        <v>322925.05094815767</v>
      </c>
      <c r="M329" s="4">
        <f t="shared" si="36"/>
        <v>837526.73708625766</v>
      </c>
    </row>
    <row r="330" spans="5:13" thickTop="1" thickBot="1" x14ac:dyDescent="0.3">
      <c r="F330">
        <v>4</v>
      </c>
      <c r="G330" s="4">
        <f t="shared" si="31"/>
        <v>425.51794789037831</v>
      </c>
      <c r="H330" s="1">
        <f t="shared" si="32"/>
        <v>2135.7258964101043</v>
      </c>
      <c r="I330" s="4">
        <f t="shared" si="33"/>
        <v>74939.223155432002</v>
      </c>
      <c r="K330" s="4">
        <f t="shared" si="34"/>
        <v>515027.20408599032</v>
      </c>
      <c r="L330" s="4">
        <f t="shared" si="35"/>
        <v>325060.77684456779</v>
      </c>
      <c r="M330" s="4">
        <f t="shared" si="36"/>
        <v>840087.98093055817</v>
      </c>
    </row>
    <row r="331" spans="5:13" thickTop="1" thickBot="1" x14ac:dyDescent="0.3">
      <c r="F331">
        <v>5</v>
      </c>
      <c r="G331" s="4">
        <f t="shared" si="31"/>
        <v>413.72696117061423</v>
      </c>
      <c r="H331" s="1">
        <f t="shared" si="32"/>
        <v>2147.5168831298683</v>
      </c>
      <c r="I331" s="4">
        <f t="shared" si="33"/>
        <v>72791.706272302137</v>
      </c>
      <c r="K331" s="4">
        <f t="shared" si="34"/>
        <v>515440.93104716094</v>
      </c>
      <c r="L331" s="4">
        <f t="shared" si="35"/>
        <v>327208.29372769769</v>
      </c>
      <c r="M331" s="4">
        <f t="shared" si="36"/>
        <v>842649.22477485868</v>
      </c>
    </row>
    <row r="332" spans="5:13" thickTop="1" thickBot="1" x14ac:dyDescent="0.3">
      <c r="F332">
        <v>6</v>
      </c>
      <c r="G332" s="4">
        <f t="shared" si="31"/>
        <v>401.87087837833474</v>
      </c>
      <c r="H332" s="1">
        <f t="shared" si="32"/>
        <v>2159.3729659221481</v>
      </c>
      <c r="I332" s="4">
        <f t="shared" si="33"/>
        <v>70632.333306379995</v>
      </c>
      <c r="K332" s="4">
        <f t="shared" si="34"/>
        <v>515842.80192553927</v>
      </c>
      <c r="L332" s="4">
        <f t="shared" si="35"/>
        <v>329367.66669361986</v>
      </c>
      <c r="M332" s="4">
        <f t="shared" si="36"/>
        <v>845210.46861915919</v>
      </c>
    </row>
    <row r="333" spans="5:13" thickTop="1" thickBot="1" x14ac:dyDescent="0.3">
      <c r="F333">
        <v>7</v>
      </c>
      <c r="G333" s="4">
        <f t="shared" si="31"/>
        <v>389.94934012897289</v>
      </c>
      <c r="H333" s="1">
        <f t="shared" si="32"/>
        <v>2171.2945041715097</v>
      </c>
      <c r="I333" s="4">
        <f t="shared" si="33"/>
        <v>68461.038802208481</v>
      </c>
      <c r="K333" s="4">
        <f t="shared" si="34"/>
        <v>516232.75126566825</v>
      </c>
      <c r="L333" s="4">
        <f t="shared" si="35"/>
        <v>331538.96119779139</v>
      </c>
      <c r="M333" s="4">
        <f t="shared" si="36"/>
        <v>847771.7124634597</v>
      </c>
    </row>
    <row r="334" spans="5:13" thickTop="1" thickBot="1" x14ac:dyDescent="0.3">
      <c r="F334">
        <v>8</v>
      </c>
      <c r="G334" s="4">
        <f t="shared" si="31"/>
        <v>377.96198505385934</v>
      </c>
      <c r="H334" s="1">
        <f t="shared" si="32"/>
        <v>2183.2818592466233</v>
      </c>
      <c r="I334" s="4">
        <f t="shared" si="33"/>
        <v>66277.75694296186</v>
      </c>
      <c r="K334" s="4">
        <f t="shared" si="34"/>
        <v>516610.7132507221</v>
      </c>
      <c r="L334" s="4">
        <f t="shared" si="35"/>
        <v>333722.24305703799</v>
      </c>
      <c r="M334" s="4">
        <f t="shared" si="36"/>
        <v>850332.95630776009</v>
      </c>
    </row>
    <row r="335" spans="5:13" thickTop="1" thickBot="1" x14ac:dyDescent="0.3">
      <c r="F335">
        <v>9</v>
      </c>
      <c r="G335" s="4">
        <f t="shared" si="31"/>
        <v>365.90844978926862</v>
      </c>
      <c r="H335" s="1">
        <f t="shared" si="32"/>
        <v>2195.335394511214</v>
      </c>
      <c r="I335" s="4">
        <f t="shared" si="33"/>
        <v>64082.421548450642</v>
      </c>
      <c r="K335" s="4">
        <f t="shared" si="34"/>
        <v>516976.62170051137</v>
      </c>
      <c r="L335" s="4">
        <f t="shared" si="35"/>
        <v>335917.57845154923</v>
      </c>
      <c r="M335" s="4">
        <f t="shared" si="36"/>
        <v>852894.2001520606</v>
      </c>
    </row>
    <row r="336" spans="5:13" thickTop="1" thickBot="1" x14ac:dyDescent="0.3">
      <c r="F336">
        <v>10</v>
      </c>
      <c r="G336" s="4">
        <f t="shared" si="31"/>
        <v>353.78836896540457</v>
      </c>
      <c r="H336" s="1">
        <f t="shared" si="32"/>
        <v>2207.4554753350781</v>
      </c>
      <c r="I336" s="4">
        <f t="shared" si="33"/>
        <v>61874.966073115567</v>
      </c>
      <c r="K336" s="4">
        <f t="shared" si="34"/>
        <v>517330.41006947675</v>
      </c>
      <c r="L336" s="4">
        <f t="shared" si="35"/>
        <v>338125.03392688429</v>
      </c>
      <c r="M336" s="4">
        <f t="shared" si="36"/>
        <v>855455.44399636099</v>
      </c>
    </row>
    <row r="337" spans="5:13" thickTop="1" thickBot="1" x14ac:dyDescent="0.3">
      <c r="F337">
        <v>11</v>
      </c>
      <c r="G337" s="4">
        <f t="shared" si="31"/>
        <v>341.60137519532555</v>
      </c>
      <c r="H337" s="1">
        <f t="shared" si="32"/>
        <v>2219.642469105157</v>
      </c>
      <c r="I337" s="4">
        <f t="shared" si="33"/>
        <v>59655.323604010409</v>
      </c>
      <c r="K337" s="4">
        <f t="shared" si="34"/>
        <v>517672.01144467207</v>
      </c>
      <c r="L337" s="4">
        <f t="shared" si="35"/>
        <v>340344.67639598943</v>
      </c>
      <c r="M337" s="4">
        <f t="shared" si="36"/>
        <v>858016.6878406615</v>
      </c>
    </row>
    <row r="338" spans="5:13" thickTop="1" thickBot="1" x14ac:dyDescent="0.3">
      <c r="F338">
        <v>12</v>
      </c>
      <c r="G338" s="4">
        <f t="shared" si="31"/>
        <v>329.34709906380749</v>
      </c>
      <c r="H338" s="1">
        <f t="shared" si="32"/>
        <v>2231.8967452366751</v>
      </c>
      <c r="I338" s="4">
        <f t="shared" si="33"/>
        <v>57423.426858773732</v>
      </c>
      <c r="K338" s="4">
        <f t="shared" si="34"/>
        <v>518001.35854373587</v>
      </c>
      <c r="L338" s="4">
        <f t="shared" si="35"/>
        <v>342576.57314122608</v>
      </c>
      <c r="M338" s="4">
        <f t="shared" si="36"/>
        <v>860577.93168496201</v>
      </c>
    </row>
    <row r="339" spans="5:13" thickTop="1" thickBot="1" x14ac:dyDescent="0.3">
      <c r="E339" t="s">
        <v>38</v>
      </c>
      <c r="F339">
        <v>1</v>
      </c>
      <c r="G339" s="4">
        <f t="shared" si="31"/>
        <v>317.02516911614663</v>
      </c>
      <c r="H339" s="1">
        <f t="shared" si="32"/>
        <v>2244.218675184336</v>
      </c>
      <c r="I339" s="4">
        <f t="shared" si="33"/>
        <v>55179.208183589399</v>
      </c>
      <c r="K339" s="4">
        <f t="shared" si="34"/>
        <v>518318.38371285202</v>
      </c>
      <c r="L339" s="4">
        <f t="shared" si="35"/>
        <v>344820.79181641043</v>
      </c>
      <c r="M339" s="4">
        <f t="shared" si="36"/>
        <v>863139.17552926252</v>
      </c>
    </row>
    <row r="340" spans="5:13" thickTop="1" thickBot="1" x14ac:dyDescent="0.3">
      <c r="F340">
        <v>2</v>
      </c>
      <c r="G340" s="4">
        <f t="shared" si="31"/>
        <v>304.63521184689984</v>
      </c>
      <c r="H340" s="1">
        <f t="shared" si="32"/>
        <v>2256.6086324535827</v>
      </c>
      <c r="I340" s="4">
        <f t="shared" si="33"/>
        <v>52922.59955113582</v>
      </c>
      <c r="K340" s="4">
        <f t="shared" si="34"/>
        <v>518623.01892469893</v>
      </c>
      <c r="L340" s="4">
        <f t="shared" si="35"/>
        <v>347077.40044886403</v>
      </c>
      <c r="M340" s="4">
        <f t="shared" si="36"/>
        <v>865700.41937356303</v>
      </c>
    </row>
    <row r="341" spans="5:13" thickTop="1" thickBot="1" x14ac:dyDescent="0.3">
      <c r="F341">
        <v>3</v>
      </c>
      <c r="G341" s="4">
        <f t="shared" si="31"/>
        <v>292.17685168856235</v>
      </c>
      <c r="H341" s="1">
        <f t="shared" si="32"/>
        <v>2269.0669926119203</v>
      </c>
      <c r="I341" s="4">
        <f t="shared" si="33"/>
        <v>50653.532558523897</v>
      </c>
      <c r="K341" s="4">
        <f t="shared" si="34"/>
        <v>518915.19577638747</v>
      </c>
      <c r="L341" s="4">
        <f t="shared" si="35"/>
        <v>349346.46744147595</v>
      </c>
      <c r="M341" s="4">
        <f t="shared" si="36"/>
        <v>868261.66321786342</v>
      </c>
    </row>
    <row r="342" spans="5:13" thickTop="1" thickBot="1" x14ac:dyDescent="0.3">
      <c r="F342">
        <v>4</v>
      </c>
      <c r="G342" s="4">
        <f t="shared" si="31"/>
        <v>279.64971100018403</v>
      </c>
      <c r="H342" s="1">
        <f t="shared" si="32"/>
        <v>2281.5941333002984</v>
      </c>
      <c r="I342" s="4">
        <f t="shared" si="33"/>
        <v>48371.938425223598</v>
      </c>
      <c r="K342" s="4">
        <f t="shared" si="34"/>
        <v>519194.84548738768</v>
      </c>
      <c r="L342" s="4">
        <f t="shared" si="35"/>
        <v>351628.06157477625</v>
      </c>
      <c r="M342" s="4">
        <f t="shared" si="36"/>
        <v>870822.90706216393</v>
      </c>
    </row>
    <row r="343" spans="5:13" thickTop="1" thickBot="1" x14ac:dyDescent="0.3">
      <c r="F343">
        <v>5</v>
      </c>
      <c r="G343" s="4">
        <f t="shared" si="31"/>
        <v>267.05341005592197</v>
      </c>
      <c r="H343" s="1">
        <f t="shared" si="32"/>
        <v>2294.1904342445605</v>
      </c>
      <c r="I343" s="4">
        <f t="shared" si="33"/>
        <v>46077.747990979035</v>
      </c>
      <c r="K343" s="4">
        <f t="shared" si="34"/>
        <v>519461.89889744361</v>
      </c>
      <c r="L343" s="4">
        <f t="shared" si="35"/>
        <v>353922.25200902083</v>
      </c>
      <c r="M343" s="4">
        <f t="shared" si="36"/>
        <v>873384.15090646443</v>
      </c>
    </row>
    <row r="344" spans="5:13" thickTop="1" thickBot="1" x14ac:dyDescent="0.3">
      <c r="F344">
        <v>6</v>
      </c>
      <c r="G344" s="4">
        <f t="shared" si="31"/>
        <v>254.3875670335301</v>
      </c>
      <c r="H344" s="1">
        <f t="shared" si="32"/>
        <v>2306.8562772669525</v>
      </c>
      <c r="I344" s="4">
        <f t="shared" si="33"/>
        <v>43770.891713712081</v>
      </c>
      <c r="K344" s="4">
        <f t="shared" si="34"/>
        <v>519716.28646447713</v>
      </c>
      <c r="L344" s="4">
        <f t="shared" si="35"/>
        <v>356229.10828628775</v>
      </c>
      <c r="M344" s="4">
        <f t="shared" si="36"/>
        <v>875945.39475076483</v>
      </c>
    </row>
    <row r="345" spans="5:13" thickTop="1" thickBot="1" x14ac:dyDescent="0.3">
      <c r="F345">
        <v>7</v>
      </c>
      <c r="G345" s="4">
        <f t="shared" si="31"/>
        <v>241.65179800278545</v>
      </c>
      <c r="H345" s="1">
        <f t="shared" si="32"/>
        <v>2319.5920462976969</v>
      </c>
      <c r="I345" s="4">
        <f t="shared" si="33"/>
        <v>41451.299667414387</v>
      </c>
      <c r="K345" s="4">
        <f t="shared" si="34"/>
        <v>519957.9382624799</v>
      </c>
      <c r="L345" s="4">
        <f t="shared" si="35"/>
        <v>358548.70033258543</v>
      </c>
      <c r="M345" s="4">
        <f t="shared" si="36"/>
        <v>878506.63859506533</v>
      </c>
    </row>
    <row r="346" spans="5:13" thickTop="1" thickBot="1" x14ac:dyDescent="0.3">
      <c r="F346">
        <v>8</v>
      </c>
      <c r="G346" s="4">
        <f t="shared" si="31"/>
        <v>228.84571691385028</v>
      </c>
      <c r="H346" s="1">
        <f t="shared" si="32"/>
        <v>2332.3981273866325</v>
      </c>
      <c r="I346" s="4">
        <f t="shared" si="33"/>
        <v>39118.901540027757</v>
      </c>
      <c r="K346" s="4">
        <f t="shared" si="34"/>
        <v>520186.78397939377</v>
      </c>
      <c r="L346" s="4">
        <f t="shared" si="35"/>
        <v>360881.09845997207</v>
      </c>
      <c r="M346" s="4">
        <f t="shared" si="36"/>
        <v>881067.88243936584</v>
      </c>
    </row>
    <row r="347" spans="5:13" thickTop="1" thickBot="1" x14ac:dyDescent="0.3">
      <c r="F347">
        <v>9</v>
      </c>
      <c r="G347" s="4">
        <f t="shared" si="31"/>
        <v>215.96893558556994</v>
      </c>
      <c r="H347" s="1">
        <f t="shared" si="32"/>
        <v>2345.2749087149127</v>
      </c>
      <c r="I347" s="4">
        <f t="shared" si="33"/>
        <v>36773.626631312844</v>
      </c>
      <c r="K347" s="4">
        <f t="shared" si="34"/>
        <v>520402.75291497936</v>
      </c>
      <c r="L347" s="4">
        <f t="shared" si="35"/>
        <v>363226.373368687</v>
      </c>
      <c r="M347" s="4">
        <f t="shared" si="36"/>
        <v>883629.12628366635</v>
      </c>
    </row>
    <row r="348" spans="5:13" thickTop="1" thickBot="1" x14ac:dyDescent="0.3">
      <c r="F348">
        <v>10</v>
      </c>
      <c r="G348" s="4">
        <f t="shared" si="31"/>
        <v>203.02106369370634</v>
      </c>
      <c r="H348" s="1">
        <f t="shared" si="32"/>
        <v>2358.2227806067763</v>
      </c>
      <c r="I348" s="4">
        <f t="shared" si="33"/>
        <v>34415.403850706069</v>
      </c>
      <c r="K348" s="4">
        <f t="shared" si="34"/>
        <v>520605.77397867304</v>
      </c>
      <c r="L348" s="4">
        <f t="shared" si="35"/>
        <v>365584.59614929376</v>
      </c>
      <c r="M348" s="4">
        <f t="shared" si="36"/>
        <v>886190.37012796686</v>
      </c>
    </row>
    <row r="349" spans="5:13" thickTop="1" thickBot="1" x14ac:dyDescent="0.3">
      <c r="F349">
        <v>11</v>
      </c>
      <c r="G349" s="4">
        <f t="shared" si="31"/>
        <v>190.00170875910644</v>
      </c>
      <c r="H349" s="1">
        <f t="shared" si="32"/>
        <v>2371.2421355413762</v>
      </c>
      <c r="I349" s="4">
        <f t="shared" si="33"/>
        <v>32044.161715164693</v>
      </c>
      <c r="K349" s="4">
        <f t="shared" si="34"/>
        <v>520795.77568743215</v>
      </c>
      <c r="L349" s="4">
        <f t="shared" si="35"/>
        <v>367955.83828483516</v>
      </c>
      <c r="M349" s="4">
        <f t="shared" si="36"/>
        <v>888751.61397226737</v>
      </c>
    </row>
    <row r="350" spans="5:13" thickTop="1" thickBot="1" x14ac:dyDescent="0.3">
      <c r="F350">
        <v>12</v>
      </c>
      <c r="G350" s="4">
        <f t="shared" si="31"/>
        <v>176.91047613580508</v>
      </c>
      <c r="H350" s="1">
        <f t="shared" si="32"/>
        <v>2384.3333681646773</v>
      </c>
      <c r="I350" s="4">
        <f t="shared" si="33"/>
        <v>29659.828347000017</v>
      </c>
      <c r="K350" s="4">
        <f t="shared" si="34"/>
        <v>520972.68616356794</v>
      </c>
      <c r="L350" s="4">
        <f t="shared" si="35"/>
        <v>370340.17165299982</v>
      </c>
      <c r="M350" s="4">
        <f t="shared" si="36"/>
        <v>891312.85781656776</v>
      </c>
    </row>
    <row r="351" spans="5:13" thickTop="1" thickBot="1" x14ac:dyDescent="0.3">
      <c r="E351" t="s">
        <v>19</v>
      </c>
      <c r="F351">
        <v>1</v>
      </c>
      <c r="G351" s="4">
        <f t="shared" si="31"/>
        <v>163.7469689990626</v>
      </c>
      <c r="H351" s="1">
        <f t="shared" si="32"/>
        <v>2397.49687530142</v>
      </c>
      <c r="I351" s="4">
        <f t="shared" si="33"/>
        <v>27262.331471698599</v>
      </c>
      <c r="K351" s="4">
        <f t="shared" si="34"/>
        <v>521136.43313256698</v>
      </c>
      <c r="L351" s="4">
        <f t="shared" si="35"/>
        <v>372737.66852830123</v>
      </c>
      <c r="M351" s="4">
        <f t="shared" si="36"/>
        <v>893874.10166086815</v>
      </c>
    </row>
    <row r="352" spans="5:13" thickTop="1" thickBot="1" x14ac:dyDescent="0.3">
      <c r="F352">
        <v>2</v>
      </c>
      <c r="G352" s="4">
        <f t="shared" si="31"/>
        <v>150.51078833333602</v>
      </c>
      <c r="H352" s="1">
        <f t="shared" si="32"/>
        <v>2410.7330559671464</v>
      </c>
      <c r="I352" s="4">
        <f t="shared" si="33"/>
        <v>24851.598415731452</v>
      </c>
      <c r="K352" s="4">
        <f t="shared" si="34"/>
        <v>521286.94392090029</v>
      </c>
      <c r="L352" s="4">
        <f t="shared" si="35"/>
        <v>375148.40158426837</v>
      </c>
      <c r="M352" s="4">
        <f t="shared" si="36"/>
        <v>896435.34550516866</v>
      </c>
    </row>
    <row r="353" spans="6:13" thickTop="1" thickBot="1" x14ac:dyDescent="0.3">
      <c r="F353">
        <v>3</v>
      </c>
      <c r="G353" s="4">
        <f t="shared" si="31"/>
        <v>137.20153292018406</v>
      </c>
      <c r="H353" s="1">
        <f t="shared" si="32"/>
        <v>2424.0423113802985</v>
      </c>
      <c r="I353" s="4">
        <f t="shared" si="33"/>
        <v>22427.556104351155</v>
      </c>
      <c r="K353" s="4">
        <f t="shared" si="34"/>
        <v>521424.14545382047</v>
      </c>
      <c r="L353" s="4">
        <f t="shared" si="35"/>
        <v>377572.4438956487</v>
      </c>
      <c r="M353" s="4">
        <f t="shared" si="36"/>
        <v>898996.58934946917</v>
      </c>
    </row>
    <row r="354" spans="6:13" thickTop="1" thickBot="1" x14ac:dyDescent="0.3">
      <c r="F354">
        <v>4</v>
      </c>
      <c r="G354" s="4">
        <f t="shared" si="31"/>
        <v>123.81879932610535</v>
      </c>
      <c r="H354" s="1">
        <f t="shared" si="32"/>
        <v>2437.4250449743772</v>
      </c>
      <c r="I354" s="4">
        <f t="shared" si="33"/>
        <v>19990.131059376778</v>
      </c>
      <c r="K354" s="4">
        <f t="shared" si="34"/>
        <v>521547.96425314655</v>
      </c>
      <c r="L354" s="4">
        <f t="shared" si="35"/>
        <v>380009.86894062307</v>
      </c>
      <c r="M354" s="4">
        <f t="shared" si="36"/>
        <v>901557.83319376968</v>
      </c>
    </row>
    <row r="355" spans="6:13" thickTop="1" thickBot="1" x14ac:dyDescent="0.3">
      <c r="F355">
        <v>5</v>
      </c>
      <c r="G355" s="4">
        <f t="shared" si="31"/>
        <v>110.36218189030929</v>
      </c>
      <c r="H355" s="1">
        <f t="shared" si="32"/>
        <v>2450.8816624101732</v>
      </c>
      <c r="I355" s="4">
        <f t="shared" si="33"/>
        <v>17539.249396966603</v>
      </c>
      <c r="K355" s="4">
        <f t="shared" si="34"/>
        <v>521658.32643503684</v>
      </c>
      <c r="L355" s="4">
        <f t="shared" si="35"/>
        <v>382460.75060303323</v>
      </c>
      <c r="M355" s="4">
        <f t="shared" si="36"/>
        <v>904119.07703807007</v>
      </c>
    </row>
    <row r="356" spans="6:13" thickTop="1" thickBot="1" x14ac:dyDescent="0.3">
      <c r="F356">
        <v>6</v>
      </c>
      <c r="G356" s="4">
        <f t="shared" si="31"/>
        <v>96.831272712419789</v>
      </c>
      <c r="H356" s="1">
        <f t="shared" si="32"/>
        <v>2464.4125715880627</v>
      </c>
      <c r="I356" s="4">
        <f t="shared" si="33"/>
        <v>15074.836825378541</v>
      </c>
      <c r="K356" s="4">
        <f t="shared" si="34"/>
        <v>521755.15770774928</v>
      </c>
      <c r="L356" s="4">
        <f t="shared" si="35"/>
        <v>384925.1631746213</v>
      </c>
      <c r="M356" s="4">
        <f t="shared" si="36"/>
        <v>906680.32088237058</v>
      </c>
    </row>
    <row r="357" spans="6:13" thickTop="1" thickBot="1" x14ac:dyDescent="0.3">
      <c r="F357">
        <v>7</v>
      </c>
      <c r="G357" s="4">
        <f t="shared" si="31"/>
        <v>83.225661640110701</v>
      </c>
      <c r="H357" s="1">
        <f t="shared" si="32"/>
        <v>2478.0181826603721</v>
      </c>
      <c r="I357" s="4">
        <f t="shared" si="33"/>
        <v>12596.818642718168</v>
      </c>
      <c r="K357" s="4">
        <f t="shared" si="34"/>
        <v>521838.3833693894</v>
      </c>
      <c r="L357" s="4">
        <f t="shared" si="35"/>
        <v>387403.18135728169</v>
      </c>
      <c r="M357" s="4">
        <f t="shared" si="36"/>
        <v>909241.56472667109</v>
      </c>
    </row>
    <row r="358" spans="6:13" thickTop="1" thickBot="1" x14ac:dyDescent="0.3">
      <c r="F358">
        <v>8</v>
      </c>
      <c r="G358" s="4">
        <f t="shared" si="31"/>
        <v>69.544936256673225</v>
      </c>
      <c r="H358" s="1">
        <f t="shared" si="32"/>
        <v>2491.6989080438093</v>
      </c>
      <c r="I358" s="4">
        <f t="shared" si="33"/>
        <v>10105.119734674359</v>
      </c>
      <c r="K358" s="4">
        <f t="shared" si="34"/>
        <v>521907.92830564606</v>
      </c>
      <c r="L358" s="4">
        <f t="shared" si="35"/>
        <v>389894.88026532548</v>
      </c>
      <c r="M358" s="4">
        <f t="shared" si="36"/>
        <v>911802.80857097148</v>
      </c>
    </row>
    <row r="359" spans="6:13" thickTop="1" thickBot="1" x14ac:dyDescent="0.3">
      <c r="F359">
        <v>9</v>
      </c>
      <c r="G359" s="4">
        <f t="shared" si="31"/>
        <v>55.788681868514693</v>
      </c>
      <c r="H359" s="1">
        <f t="shared" si="32"/>
        <v>2505.4551624319679</v>
      </c>
      <c r="I359" s="4">
        <f t="shared" si="33"/>
        <v>7599.6645722423909</v>
      </c>
      <c r="K359" s="4">
        <f t="shared" si="34"/>
        <v>521963.71698751458</v>
      </c>
      <c r="L359" s="4">
        <f t="shared" si="35"/>
        <v>392400.33542775747</v>
      </c>
      <c r="M359" s="4">
        <f t="shared" si="36"/>
        <v>914364.05241527199</v>
      </c>
    </row>
    <row r="360" spans="6:13" thickTop="1" thickBot="1" x14ac:dyDescent="0.3">
      <c r="F360">
        <v>10</v>
      </c>
      <c r="G360" s="4">
        <f t="shared" si="31"/>
        <v>41.956481492588203</v>
      </c>
      <c r="H360" s="1">
        <f t="shared" si="32"/>
        <v>2519.2873628078942</v>
      </c>
      <c r="I360" s="4">
        <f t="shared" si="33"/>
        <v>5080.3772094344968</v>
      </c>
      <c r="K360" s="4">
        <f t="shared" si="34"/>
        <v>522005.67346900719</v>
      </c>
      <c r="L360" s="4">
        <f t="shared" si="35"/>
        <v>394919.62279056536</v>
      </c>
      <c r="M360" s="4">
        <f t="shared" si="36"/>
        <v>916925.2962595725</v>
      </c>
    </row>
    <row r="361" spans="6:13" thickTop="1" thickBot="1" x14ac:dyDescent="0.3">
      <c r="F361">
        <v>11</v>
      </c>
      <c r="G361" s="4">
        <f t="shared" si="31"/>
        <v>28.04791584375295</v>
      </c>
      <c r="H361" s="1">
        <f t="shared" si="32"/>
        <v>2533.1959284567297</v>
      </c>
      <c r="I361" s="4">
        <f t="shared" si="33"/>
        <v>2547.1812809777671</v>
      </c>
      <c r="K361" s="4">
        <f t="shared" si="34"/>
        <v>522033.72138485097</v>
      </c>
      <c r="L361" s="4">
        <f t="shared" si="35"/>
        <v>397452.81871902209</v>
      </c>
      <c r="M361" s="4">
        <f t="shared" si="36"/>
        <v>919486.54010387301</v>
      </c>
    </row>
    <row r="362" spans="6:13" thickTop="1" thickBot="1" x14ac:dyDescent="0.3">
      <c r="F362">
        <v>12</v>
      </c>
      <c r="G362" s="4">
        <f t="shared" si="31"/>
        <v>14.062563322064756</v>
      </c>
      <c r="H362" s="1">
        <f t="shared" si="32"/>
        <v>2547.1812809777671</v>
      </c>
      <c r="I362" s="4">
        <f t="shared" si="33"/>
        <v>0</v>
      </c>
      <c r="K362" s="4">
        <f t="shared" si="34"/>
        <v>522047.78394817305</v>
      </c>
      <c r="L362" s="4">
        <f t="shared" si="35"/>
        <v>399999.99999999988</v>
      </c>
      <c r="M362" s="4">
        <f t="shared" si="36"/>
        <v>922047.78394817293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9684B-E178-4A9A-9CF9-0F7FC6DEF78D}">
  <sheetPr codeName="Sheet3"/>
  <dimension ref="A1:CC83"/>
  <sheetViews>
    <sheetView topLeftCell="N1" zoomScale="130" zoomScaleNormal="130" workbookViewId="0">
      <selection activeCell="T6" sqref="T6"/>
    </sheetView>
  </sheetViews>
  <sheetFormatPr defaultRowHeight="15" x14ac:dyDescent="0.25"/>
  <cols>
    <col min="1" max="1" width="5.42578125" bestFit="1" customWidth="1"/>
    <col min="2" max="2" width="5" bestFit="1" customWidth="1"/>
    <col min="3" max="3" width="23.42578125" bestFit="1" customWidth="1"/>
    <col min="4" max="4" width="13.28515625" bestFit="1" customWidth="1"/>
    <col min="5" max="5" width="2.7109375" customWidth="1"/>
    <col min="6" max="6" width="28.42578125" bestFit="1" customWidth="1"/>
    <col min="7" max="7" width="20.28515625" style="1" customWidth="1"/>
    <col min="8" max="8" width="19.85546875" customWidth="1"/>
    <col min="9" max="9" width="19.42578125" bestFit="1" customWidth="1"/>
    <col min="10" max="10" width="3.140625" customWidth="1"/>
    <col min="11" max="11" width="21.5703125" bestFit="1" customWidth="1"/>
    <col min="12" max="12" width="19.7109375" bestFit="1" customWidth="1"/>
    <col min="13" max="13" width="23.42578125" bestFit="1" customWidth="1"/>
    <col min="14" max="14" width="19.140625" style="1" bestFit="1" customWidth="1"/>
    <col min="15" max="15" width="19.140625" customWidth="1"/>
    <col min="16" max="16" width="22.42578125" bestFit="1" customWidth="1"/>
    <col min="17" max="17" width="19.140625" bestFit="1" customWidth="1"/>
    <col min="18" max="18" width="21" bestFit="1" customWidth="1"/>
    <col min="19" max="19" width="16.42578125" customWidth="1"/>
    <col min="20" max="20" width="21.140625" bestFit="1" customWidth="1"/>
    <col min="21" max="21" width="3.5703125" customWidth="1"/>
    <col min="22" max="22" width="19.28515625" customWidth="1"/>
    <col min="23" max="23" width="12" customWidth="1"/>
    <col min="24" max="24" width="14.5703125" bestFit="1" customWidth="1"/>
    <col min="25" max="25" width="3.140625" customWidth="1"/>
    <col min="26" max="26" width="19.7109375" bestFit="1" customWidth="1"/>
    <col min="27" max="27" width="18.7109375" bestFit="1" customWidth="1"/>
    <col min="28" max="28" width="25.85546875" bestFit="1" customWidth="1"/>
    <col min="29" max="29" width="18.140625" bestFit="1" customWidth="1"/>
    <col min="30" max="30" width="7.5703125" bestFit="1" customWidth="1"/>
    <col min="31" max="31" width="17.85546875" bestFit="1" customWidth="1"/>
    <col min="32" max="32" width="15" customWidth="1"/>
    <col min="33" max="33" width="14.5703125" bestFit="1" customWidth="1"/>
    <col min="34" max="34" width="21.140625" bestFit="1" customWidth="1"/>
    <col min="35" max="35" width="18.140625" bestFit="1" customWidth="1"/>
    <col min="36" max="36" width="20.7109375" customWidth="1"/>
    <col min="37" max="37" width="18.140625" bestFit="1" customWidth="1"/>
    <col min="39" max="39" width="17.140625" bestFit="1" customWidth="1"/>
  </cols>
  <sheetData>
    <row r="1" spans="1:33" x14ac:dyDescent="0.25">
      <c r="C1" s="77" t="s">
        <v>83</v>
      </c>
      <c r="D1" s="78"/>
      <c r="F1" s="79" t="s">
        <v>84</v>
      </c>
      <c r="G1" s="80"/>
      <c r="H1" s="78"/>
      <c r="I1" s="78"/>
      <c r="K1" s="79" t="s">
        <v>45</v>
      </c>
      <c r="L1" s="78"/>
      <c r="M1" s="78"/>
      <c r="N1" s="80"/>
      <c r="O1" s="78"/>
      <c r="P1" s="78"/>
      <c r="Q1" s="78"/>
      <c r="R1" s="78"/>
      <c r="S1" s="78"/>
      <c r="T1" s="78"/>
      <c r="V1" s="79" t="s">
        <v>58</v>
      </c>
      <c r="W1" s="78"/>
      <c r="X1" s="78"/>
      <c r="Z1" s="79" t="s">
        <v>59</v>
      </c>
      <c r="AA1" s="78"/>
      <c r="AB1" s="78"/>
    </row>
    <row r="2" spans="1:33" x14ac:dyDescent="0.25">
      <c r="C2" s="84" t="s">
        <v>75</v>
      </c>
      <c r="D2" s="11">
        <f>Main!G32</f>
        <v>500000</v>
      </c>
      <c r="F2" s="84" t="s">
        <v>67</v>
      </c>
      <c r="G2" s="11">
        <f>Main!G34</f>
        <v>40000</v>
      </c>
      <c r="H2" s="85">
        <f>Main!H34</f>
        <v>0.08</v>
      </c>
      <c r="K2" s="84" t="s">
        <v>103</v>
      </c>
      <c r="M2" s="84" t="s">
        <v>102</v>
      </c>
      <c r="N2" s="37">
        <f>Main!H26</f>
        <v>3.0416666666666665E-3</v>
      </c>
      <c r="P2" s="84" t="s">
        <v>87</v>
      </c>
      <c r="Q2" s="11">
        <f>Main!$G$36</f>
        <v>2500</v>
      </c>
      <c r="S2" s="84" t="s">
        <v>96</v>
      </c>
      <c r="T2" s="11">
        <f>Main!G6</f>
        <v>100000</v>
      </c>
      <c r="Z2" s="84" t="s">
        <v>69</v>
      </c>
      <c r="AA2" s="11">
        <f>Main!$C$25</f>
        <v>15000</v>
      </c>
      <c r="AC2" s="84" t="s">
        <v>101</v>
      </c>
      <c r="AD2" s="85">
        <f>Main!C24</f>
        <v>0.24</v>
      </c>
    </row>
    <row r="3" spans="1:33" x14ac:dyDescent="0.25">
      <c r="C3" s="84" t="s">
        <v>68</v>
      </c>
      <c r="D3" s="85">
        <f>Main!$G$33</f>
        <v>0.04</v>
      </c>
      <c r="F3" s="84" t="s">
        <v>103</v>
      </c>
      <c r="P3" s="84" t="s">
        <v>81</v>
      </c>
      <c r="Q3" s="85">
        <f>Main!G37</f>
        <v>0.04</v>
      </c>
      <c r="Z3" s="84" t="s">
        <v>98</v>
      </c>
      <c r="AA3" s="85">
        <f>Main!H17</f>
        <v>1.8100000000000002E-2</v>
      </c>
    </row>
    <row r="5" spans="1:33" x14ac:dyDescent="0.25">
      <c r="B5" s="42" t="s">
        <v>54</v>
      </c>
      <c r="C5" s="68" t="s">
        <v>79</v>
      </c>
      <c r="D5" s="17" t="s">
        <v>61</v>
      </c>
      <c r="F5" s="15" t="s">
        <v>85</v>
      </c>
      <c r="G5" s="16" t="s">
        <v>57</v>
      </c>
      <c r="H5" s="16" t="s">
        <v>46</v>
      </c>
      <c r="I5" s="21" t="s">
        <v>47</v>
      </c>
      <c r="K5" s="15" t="s">
        <v>90</v>
      </c>
      <c r="L5" s="16" t="s">
        <v>91</v>
      </c>
      <c r="M5" s="16" t="s">
        <v>89</v>
      </c>
      <c r="N5" s="16" t="s">
        <v>92</v>
      </c>
      <c r="O5" s="16" t="s">
        <v>86</v>
      </c>
      <c r="P5" s="16" t="s">
        <v>94</v>
      </c>
      <c r="Q5" s="16" t="s">
        <v>95</v>
      </c>
      <c r="R5" s="8" t="s">
        <v>42</v>
      </c>
      <c r="S5" s="16" t="s">
        <v>104</v>
      </c>
      <c r="T5" s="21" t="s">
        <v>82</v>
      </c>
      <c r="V5" s="15" t="s">
        <v>49</v>
      </c>
      <c r="W5" s="16" t="s">
        <v>43</v>
      </c>
      <c r="X5" s="17" t="s">
        <v>44</v>
      </c>
      <c r="Z5" s="15" t="s">
        <v>80</v>
      </c>
      <c r="AA5" s="16" t="s">
        <v>97</v>
      </c>
      <c r="AB5" s="16" t="s">
        <v>100</v>
      </c>
      <c r="AC5" s="17" t="s">
        <v>60</v>
      </c>
      <c r="AD5" s="42" t="s">
        <v>54</v>
      </c>
    </row>
    <row r="6" spans="1:33" s="44" customFormat="1" x14ac:dyDescent="0.25">
      <c r="A6" s="44">
        <f ca="1">YEAR(TODAY())</f>
        <v>2026</v>
      </c>
      <c r="B6" s="43">
        <v>0</v>
      </c>
      <c r="C6" s="71">
        <f>D2</f>
        <v>500000</v>
      </c>
      <c r="D6" s="72">
        <f>(C6)/Main!$G$5-1</f>
        <v>0</v>
      </c>
      <c r="F6" s="45">
        <f>C6*(1-$H$2)</f>
        <v>460000</v>
      </c>
      <c r="G6" s="64">
        <f>F6-$D$2</f>
        <v>-40000</v>
      </c>
      <c r="H6" s="46">
        <f>'Fixed Payment Amortization'!B2</f>
        <v>400000</v>
      </c>
      <c r="I6" s="47">
        <f>F6-H6</f>
        <v>60000</v>
      </c>
      <c r="K6" s="71">
        <f>0</f>
        <v>0</v>
      </c>
      <c r="L6" s="48">
        <v>0</v>
      </c>
      <c r="M6" s="46">
        <v>0</v>
      </c>
      <c r="N6" s="48">
        <v>0</v>
      </c>
      <c r="O6" s="48">
        <v>0</v>
      </c>
      <c r="P6" s="48">
        <v>0</v>
      </c>
      <c r="Q6" s="48">
        <v>0</v>
      </c>
      <c r="R6" s="87">
        <v>0</v>
      </c>
      <c r="S6" s="48">
        <v>0</v>
      </c>
      <c r="T6" s="47">
        <f>$T$2+R6-S6</f>
        <v>100000</v>
      </c>
      <c r="V6" s="45">
        <f t="shared" ref="V6:V41" si="0">I6-T6</f>
        <v>-40000</v>
      </c>
      <c r="W6" s="49">
        <f>I6/T6-1</f>
        <v>-0.4</v>
      </c>
      <c r="X6" s="57" t="s">
        <v>48</v>
      </c>
      <c r="Z6" s="45">
        <v>0</v>
      </c>
      <c r="AA6" s="48">
        <v>0</v>
      </c>
      <c r="AC6" s="57"/>
      <c r="AD6" s="43">
        <v>0</v>
      </c>
    </row>
    <row r="7" spans="1:33" x14ac:dyDescent="0.25">
      <c r="A7">
        <f ca="1">A6+1</f>
        <v>2027</v>
      </c>
      <c r="B7" s="42">
        <v>1</v>
      </c>
      <c r="C7" s="69">
        <f>C6*(1+$D$3)</f>
        <v>520000</v>
      </c>
      <c r="D7" s="70">
        <f>C7/$D$2-1</f>
        <v>4.0000000000000036E-2</v>
      </c>
      <c r="E7" s="61"/>
      <c r="F7" s="62">
        <f t="shared" ref="F7:F41" si="1">C7*(1-$H$2)</f>
        <v>478400</v>
      </c>
      <c r="G7" s="63">
        <f t="shared" ref="G7:G41" si="2">F7-$D$2</f>
        <v>-21600</v>
      </c>
      <c r="H7" s="4">
        <f>'Fixed Payment Amortization'!I14</f>
        <v>395634.08599820518</v>
      </c>
      <c r="I7" s="22">
        <f t="shared" ref="I7:I41" si="3">F7-H7</f>
        <v>82765.914001794823</v>
      </c>
      <c r="K7" s="18">
        <f>'Fixed Payment Amortization'!K14</f>
        <v>26369.012129810915</v>
      </c>
      <c r="L7" s="4">
        <f>'Fixed Payment Amortization'!L14</f>
        <v>4365.9140017948775</v>
      </c>
      <c r="M7" s="4">
        <f t="shared" ref="M7:M41" si="4">C6*$N$2*12</f>
        <v>18250</v>
      </c>
      <c r="N7" s="4">
        <f>N6+M7</f>
        <v>18250</v>
      </c>
      <c r="O7" s="4">
        <f t="shared" ref="O7:O41" si="5">(K7+L7+N7)</f>
        <v>48984.926131605796</v>
      </c>
      <c r="P7" s="4">
        <f t="shared" ref="P7:P41" si="6">$Q$2*(1+$Q$3)^B6*12</f>
        <v>30000</v>
      </c>
      <c r="Q7" s="4">
        <f>P7+Q6</f>
        <v>30000</v>
      </c>
      <c r="R7" s="4">
        <f t="shared" ref="R7:R41" si="7">O7-Q7</f>
        <v>18984.926131605796</v>
      </c>
      <c r="S7" s="24">
        <f t="shared" ref="S7:S41" si="8">IF(AC7&gt;0, S6+AC7, S6)</f>
        <v>4900.5629111546195</v>
      </c>
      <c r="T7" s="86">
        <f t="shared" ref="T7:T41" si="9">$T$2+R7-S7</f>
        <v>114084.36322045118</v>
      </c>
      <c r="V7" s="18">
        <f t="shared" si="0"/>
        <v>-31318.449218656358</v>
      </c>
      <c r="W7" s="23">
        <f t="shared" ref="W7:W41" si="10">IF(T7&gt;0, I7/T7-1, "inf")</f>
        <v>-0.27452008614132406</v>
      </c>
      <c r="X7" s="40">
        <f t="shared" ref="X7:X41" si="11">IF(T7&gt;0, (1+W7)^(1/(B7-$B$6))-1, "inf")</f>
        <v>-0.27452008614132406</v>
      </c>
      <c r="Z7" s="18">
        <f t="shared" ref="Z7:Z41" si="12">K7-K6</f>
        <v>26369.012129810915</v>
      </c>
      <c r="AA7" s="4">
        <f>C6*$AA$3</f>
        <v>9050</v>
      </c>
      <c r="AB7" s="4">
        <f>IF(AA7&lt;=10000, Z7+AA7-$AA$2, Z7+10000-$AA$2)</f>
        <v>20419.012129810915</v>
      </c>
      <c r="AC7" s="19">
        <f>AB7*$AD$2</f>
        <v>4900.5629111546195</v>
      </c>
      <c r="AD7" s="42">
        <v>1</v>
      </c>
      <c r="AE7" t="s">
        <v>106</v>
      </c>
    </row>
    <row r="8" spans="1:33" x14ac:dyDescent="0.25">
      <c r="A8">
        <f t="shared" ref="A8:A41" ca="1" si="13">A7+1</f>
        <v>2028</v>
      </c>
      <c r="B8" s="42">
        <v>2</v>
      </c>
      <c r="C8" s="69">
        <f t="shared" ref="C8:C41" si="14">C7*(1+$D$3)</f>
        <v>540800</v>
      </c>
      <c r="D8" s="70">
        <f t="shared" ref="D8:D41" si="15">C8/$D$2-1</f>
        <v>8.1599999999999895E-2</v>
      </c>
      <c r="E8" s="61"/>
      <c r="F8" s="62">
        <f t="shared" si="1"/>
        <v>497536</v>
      </c>
      <c r="G8" s="63">
        <f t="shared" si="2"/>
        <v>-2464</v>
      </c>
      <c r="H8" s="4">
        <f>'Fixed Payment Amortization'!I26</f>
        <v>390969.9838352204</v>
      </c>
      <c r="I8" s="22">
        <f t="shared" si="3"/>
        <v>106566.0161647796</v>
      </c>
      <c r="K8" s="18">
        <f>'Fixed Payment Amortization'!K26</f>
        <v>52439.836098431995</v>
      </c>
      <c r="L8" s="4">
        <f>'Fixed Payment Amortization'!L26</f>
        <v>9030.0161647795867</v>
      </c>
      <c r="M8" s="4">
        <f t="shared" si="4"/>
        <v>18980</v>
      </c>
      <c r="N8" s="4">
        <f t="shared" ref="N8:N41" si="16">N7+M8</f>
        <v>37230</v>
      </c>
      <c r="O8" s="4">
        <f t="shared" si="5"/>
        <v>98699.852263211578</v>
      </c>
      <c r="P8" s="4">
        <f t="shared" si="6"/>
        <v>31200</v>
      </c>
      <c r="Q8" s="4">
        <f t="shared" ref="Q8:Q41" si="17">P8+Q7</f>
        <v>61200</v>
      </c>
      <c r="R8" s="4">
        <f t="shared" si="7"/>
        <v>37499.852263211578</v>
      </c>
      <c r="S8" s="24">
        <f t="shared" si="8"/>
        <v>9816.4406636236781</v>
      </c>
      <c r="T8" s="86">
        <f t="shared" si="9"/>
        <v>127683.41159958788</v>
      </c>
      <c r="V8" s="18">
        <f t="shared" si="0"/>
        <v>-21117.395434808277</v>
      </c>
      <c r="W8" s="23">
        <f t="shared" si="10"/>
        <v>-0.16538871549760847</v>
      </c>
      <c r="X8" s="40">
        <f t="shared" si="11"/>
        <v>-8.6429376291908389E-2</v>
      </c>
      <c r="Z8" s="18">
        <f t="shared" si="12"/>
        <v>26070.82396862108</v>
      </c>
      <c r="AA8" s="4">
        <f t="shared" ref="AA8:AA41" si="18">C7*$AA$3</f>
        <v>9412</v>
      </c>
      <c r="AB8" s="4">
        <f t="shared" ref="AB8:AB41" si="19">IF(AA8&lt;=10000, Z8+AA8-$AA$2, Z8+10000-$AA$2)</f>
        <v>20482.82396862108</v>
      </c>
      <c r="AC8" s="19">
        <f t="shared" ref="AC8:AC41" si="20">AB8*$AD$2</f>
        <v>4915.8777524690586</v>
      </c>
      <c r="AD8" s="42">
        <v>2</v>
      </c>
    </row>
    <row r="9" spans="1:33" x14ac:dyDescent="0.25">
      <c r="A9">
        <f t="shared" ca="1" si="13"/>
        <v>2029</v>
      </c>
      <c r="B9" s="42">
        <v>3</v>
      </c>
      <c r="C9" s="69">
        <f t="shared" si="14"/>
        <v>562432</v>
      </c>
      <c r="D9" s="70">
        <f t="shared" si="15"/>
        <v>0.12486400000000009</v>
      </c>
      <c r="E9" s="61"/>
      <c r="F9" s="62">
        <f t="shared" si="1"/>
        <v>517437.44</v>
      </c>
      <c r="G9" s="63">
        <f t="shared" si="2"/>
        <v>17437.440000000002</v>
      </c>
      <c r="H9" s="4">
        <f>'Fixed Payment Amortization'!I38</f>
        <v>385987.32751679188</v>
      </c>
      <c r="I9" s="22">
        <f t="shared" si="3"/>
        <v>131450.11248320813</v>
      </c>
      <c r="K9" s="18">
        <f>'Fixed Payment Amortization'!K38</f>
        <v>78192.105911609309</v>
      </c>
      <c r="L9" s="4">
        <f>'Fixed Payment Amortization'!L38</f>
        <v>14012.672483208073</v>
      </c>
      <c r="M9" s="4">
        <f t="shared" si="4"/>
        <v>19739.199999999997</v>
      </c>
      <c r="N9" s="4">
        <f t="shared" si="16"/>
        <v>56969.2</v>
      </c>
      <c r="O9" s="4">
        <f t="shared" si="5"/>
        <v>149173.97839481739</v>
      </c>
      <c r="P9" s="4">
        <f t="shared" si="6"/>
        <v>32448.000000000007</v>
      </c>
      <c r="Q9" s="4">
        <f t="shared" si="17"/>
        <v>93648</v>
      </c>
      <c r="R9" s="4">
        <f t="shared" si="7"/>
        <v>55525.978394817386</v>
      </c>
      <c r="S9" s="24">
        <f t="shared" si="8"/>
        <v>14746.220618786234</v>
      </c>
      <c r="T9" s="86">
        <f t="shared" si="9"/>
        <v>140779.75777603115</v>
      </c>
      <c r="V9" s="18">
        <f t="shared" si="0"/>
        <v>-9329.6452928230283</v>
      </c>
      <c r="W9" s="23">
        <f t="shared" si="10"/>
        <v>-6.6271212851962136E-2</v>
      </c>
      <c r="X9" s="40">
        <f t="shared" si="11"/>
        <v>-2.259719103589497E-2</v>
      </c>
      <c r="Z9" s="18">
        <f t="shared" si="12"/>
        <v>25752.269813177314</v>
      </c>
      <c r="AA9" s="4">
        <f t="shared" si="18"/>
        <v>9788.4800000000014</v>
      </c>
      <c r="AB9" s="4">
        <f t="shared" si="19"/>
        <v>20540.749813177317</v>
      </c>
      <c r="AC9" s="19">
        <f t="shared" si="20"/>
        <v>4929.7799551625558</v>
      </c>
      <c r="AD9" s="42">
        <v>3</v>
      </c>
    </row>
    <row r="10" spans="1:33" x14ac:dyDescent="0.25">
      <c r="A10">
        <f t="shared" ca="1" si="13"/>
        <v>2030</v>
      </c>
      <c r="B10" s="42">
        <v>4</v>
      </c>
      <c r="C10" s="69">
        <f t="shared" si="14"/>
        <v>584929.28000000003</v>
      </c>
      <c r="D10" s="70">
        <f t="shared" si="15"/>
        <v>0.16985855999999999</v>
      </c>
      <c r="E10" s="61"/>
      <c r="F10" s="62">
        <f t="shared" si="1"/>
        <v>538134.93760000006</v>
      </c>
      <c r="G10" s="63">
        <f t="shared" si="2"/>
        <v>38134.937600000063</v>
      </c>
      <c r="H10" s="4">
        <f>'Fixed Payment Amortization'!I50</f>
        <v>380664.36006882164</v>
      </c>
      <c r="I10" s="22">
        <f t="shared" si="3"/>
        <v>157470.57753117842</v>
      </c>
      <c r="K10" s="18">
        <f>'Fixed Payment Amortization'!K50</f>
        <v>103604.06459524482</v>
      </c>
      <c r="L10" s="4">
        <f>'Fixed Payment Amortization'!L50</f>
        <v>19335.639931178343</v>
      </c>
      <c r="M10" s="4">
        <f t="shared" si="4"/>
        <v>20528.768</v>
      </c>
      <c r="N10" s="4">
        <f t="shared" si="16"/>
        <v>77497.967999999993</v>
      </c>
      <c r="O10" s="4">
        <f t="shared" si="5"/>
        <v>200437.67252642318</v>
      </c>
      <c r="P10" s="4">
        <f t="shared" si="6"/>
        <v>33745.920000000006</v>
      </c>
      <c r="Q10" s="4">
        <f t="shared" si="17"/>
        <v>127393.92000000001</v>
      </c>
      <c r="R10" s="4">
        <f t="shared" si="7"/>
        <v>73043.752526423166</v>
      </c>
      <c r="S10" s="24">
        <f t="shared" si="8"/>
        <v>19645.090702858757</v>
      </c>
      <c r="T10" s="86">
        <f t="shared" si="9"/>
        <v>153398.66182356441</v>
      </c>
      <c r="V10" s="18">
        <f t="shared" si="0"/>
        <v>4071.9157076140109</v>
      </c>
      <c r="W10" s="23">
        <f t="shared" si="10"/>
        <v>2.6544662510142647E-2</v>
      </c>
      <c r="X10" s="40">
        <f t="shared" si="11"/>
        <v>6.5711121516192073E-3</v>
      </c>
      <c r="Z10" s="18">
        <f t="shared" si="12"/>
        <v>25411.958683635516</v>
      </c>
      <c r="AA10" s="4">
        <f t="shared" si="18"/>
        <v>10180.019200000001</v>
      </c>
      <c r="AB10" s="4">
        <f t="shared" si="19"/>
        <v>20411.958683635516</v>
      </c>
      <c r="AC10" s="19">
        <f t="shared" si="20"/>
        <v>4898.8700840725232</v>
      </c>
      <c r="AD10" s="42">
        <v>4</v>
      </c>
    </row>
    <row r="11" spans="1:33" s="44" customFormat="1" x14ac:dyDescent="0.25">
      <c r="A11" s="44">
        <f t="shared" ca="1" si="13"/>
        <v>2031</v>
      </c>
      <c r="B11" s="43">
        <v>5</v>
      </c>
      <c r="C11" s="71">
        <f t="shared" si="14"/>
        <v>608326.45120000001</v>
      </c>
      <c r="D11" s="72">
        <f t="shared" si="15"/>
        <v>0.21665290240000012</v>
      </c>
      <c r="F11" s="45">
        <f t="shared" si="1"/>
        <v>559660.33510400006</v>
      </c>
      <c r="G11" s="64">
        <f t="shared" si="2"/>
        <v>59660.335104000056</v>
      </c>
      <c r="H11" s="46">
        <f>'Fixed Payment Amortization'!I62</f>
        <v>374977.8385346437</v>
      </c>
      <c r="I11" s="47">
        <f t="shared" si="3"/>
        <v>184682.49656935636</v>
      </c>
      <c r="K11" s="45">
        <f>'Fixed Payment Amortization'!K62</f>
        <v>128652.46919267275</v>
      </c>
      <c r="L11" s="46">
        <f>'Fixed Payment Amortization'!L62</f>
        <v>25022.161465356228</v>
      </c>
      <c r="M11" s="46">
        <f t="shared" si="4"/>
        <v>21349.918719999998</v>
      </c>
      <c r="N11" s="46">
        <f t="shared" si="16"/>
        <v>98847.886719999995</v>
      </c>
      <c r="O11" s="46">
        <f t="shared" si="5"/>
        <v>252522.51737802901</v>
      </c>
      <c r="P11" s="46">
        <f t="shared" si="6"/>
        <v>35095.756800000003</v>
      </c>
      <c r="Q11" s="46">
        <f t="shared" si="17"/>
        <v>162489.67680000002</v>
      </c>
      <c r="R11" s="46">
        <f t="shared" si="7"/>
        <v>90032.84057802899</v>
      </c>
      <c r="S11" s="48">
        <f t="shared" si="8"/>
        <v>24456.707806241458</v>
      </c>
      <c r="T11" s="47">
        <f t="shared" si="9"/>
        <v>165576.13277178752</v>
      </c>
      <c r="V11" s="45">
        <f t="shared" si="0"/>
        <v>19106.363797568833</v>
      </c>
      <c r="W11" s="49">
        <f t="shared" si="10"/>
        <v>0.11539322411825514</v>
      </c>
      <c r="X11" s="50">
        <f t="shared" si="11"/>
        <v>2.2081671528970004E-2</v>
      </c>
      <c r="Z11" s="45">
        <f t="shared" si="12"/>
        <v>25048.404597427929</v>
      </c>
      <c r="AA11" s="46">
        <f t="shared" si="18"/>
        <v>10587.219968000001</v>
      </c>
      <c r="AB11" s="46">
        <f t="shared" si="19"/>
        <v>20048.404597427929</v>
      </c>
      <c r="AC11" s="65">
        <f t="shared" si="20"/>
        <v>4811.6171033827031</v>
      </c>
      <c r="AD11" s="43">
        <v>5</v>
      </c>
      <c r="AF11" s="46"/>
      <c r="AG11" s="66"/>
    </row>
    <row r="12" spans="1:33" x14ac:dyDescent="0.25">
      <c r="A12">
        <f t="shared" ca="1" si="13"/>
        <v>2032</v>
      </c>
      <c r="B12" s="42">
        <v>6</v>
      </c>
      <c r="C12" s="69">
        <f t="shared" si="14"/>
        <v>632659.50924799999</v>
      </c>
      <c r="D12" s="70">
        <f t="shared" si="15"/>
        <v>0.26531901849599993</v>
      </c>
      <c r="E12" s="61"/>
      <c r="F12" s="62">
        <f t="shared" si="1"/>
        <v>582046.74850816</v>
      </c>
      <c r="G12" s="63">
        <f t="shared" si="2"/>
        <v>82046.748508160003</v>
      </c>
      <c r="H12" s="4">
        <f>'Fixed Payment Amortization'!I74</f>
        <v>368902.93248369655</v>
      </c>
      <c r="I12" s="22">
        <f t="shared" si="3"/>
        <v>213143.81602446345</v>
      </c>
      <c r="K12" s="18">
        <f>'Fixed Payment Amortization'!K74</f>
        <v>153312.48927333145</v>
      </c>
      <c r="L12" s="4">
        <f>'Fixed Payment Amortization'!L74</f>
        <v>31097.067516303294</v>
      </c>
      <c r="M12" s="4">
        <f t="shared" si="4"/>
        <v>22203.915468799998</v>
      </c>
      <c r="N12" s="4">
        <f t="shared" si="16"/>
        <v>121051.80218879999</v>
      </c>
      <c r="O12" s="4">
        <f t="shared" si="5"/>
        <v>305461.35897843476</v>
      </c>
      <c r="P12" s="4">
        <f t="shared" si="6"/>
        <v>36499.587072000009</v>
      </c>
      <c r="Q12" s="4">
        <f t="shared" si="17"/>
        <v>198989.26387200004</v>
      </c>
      <c r="R12" s="4">
        <f t="shared" si="7"/>
        <v>106472.09510643472</v>
      </c>
      <c r="S12" s="24">
        <f t="shared" si="8"/>
        <v>29175.112625599544</v>
      </c>
      <c r="T12" s="86">
        <f t="shared" si="9"/>
        <v>177296.98248083517</v>
      </c>
      <c r="V12" s="18">
        <f t="shared" si="0"/>
        <v>35846.83354362828</v>
      </c>
      <c r="W12" s="23">
        <f t="shared" si="10"/>
        <v>0.20218524332473131</v>
      </c>
      <c r="X12" s="40">
        <f t="shared" si="11"/>
        <v>3.1165953941197699E-2</v>
      </c>
      <c r="Z12" s="18">
        <f t="shared" si="12"/>
        <v>24660.020080658694</v>
      </c>
      <c r="AA12" s="4">
        <f t="shared" si="18"/>
        <v>11010.708766720001</v>
      </c>
      <c r="AB12" s="4">
        <f t="shared" si="19"/>
        <v>19660.020080658694</v>
      </c>
      <c r="AC12" s="19">
        <f t="shared" si="20"/>
        <v>4718.4048193580866</v>
      </c>
      <c r="AD12" s="42">
        <v>6</v>
      </c>
      <c r="AG12" s="2"/>
    </row>
    <row r="13" spans="1:33" x14ac:dyDescent="0.25">
      <c r="A13">
        <f t="shared" ca="1" si="13"/>
        <v>2033</v>
      </c>
      <c r="B13" s="42">
        <v>7</v>
      </c>
      <c r="C13" s="69">
        <f t="shared" si="14"/>
        <v>657965.88961792004</v>
      </c>
      <c r="D13" s="70">
        <f t="shared" si="15"/>
        <v>0.31593177923584004</v>
      </c>
      <c r="E13" s="61"/>
      <c r="F13" s="62">
        <f t="shared" si="1"/>
        <v>605328.61844848644</v>
      </c>
      <c r="G13" s="63">
        <f t="shared" si="2"/>
        <v>105328.61844848644</v>
      </c>
      <c r="H13" s="4">
        <f>'Fixed Payment Amortization'!I86</f>
        <v>362413.11558842508</v>
      </c>
      <c r="I13" s="22">
        <f t="shared" si="3"/>
        <v>242915.50286006136</v>
      </c>
      <c r="K13" s="18">
        <f>'Fixed Payment Amortization'!K86</f>
        <v>177557.59850966564</v>
      </c>
      <c r="L13" s="4">
        <f>'Fixed Payment Amortization'!L86</f>
        <v>37586.884411574865</v>
      </c>
      <c r="M13" s="4">
        <f t="shared" si="4"/>
        <v>23092.072087551998</v>
      </c>
      <c r="N13" s="4">
        <f t="shared" si="16"/>
        <v>144143.874276352</v>
      </c>
      <c r="O13" s="4">
        <f t="shared" si="5"/>
        <v>359288.3571975925</v>
      </c>
      <c r="P13" s="4">
        <f t="shared" si="6"/>
        <v>37959.570554880011</v>
      </c>
      <c r="Q13" s="4">
        <f t="shared" si="17"/>
        <v>236948.83442688006</v>
      </c>
      <c r="R13" s="4">
        <f t="shared" si="7"/>
        <v>122339.52277071244</v>
      </c>
      <c r="S13" s="24">
        <f t="shared" si="8"/>
        <v>33793.938842319752</v>
      </c>
      <c r="T13" s="86">
        <f t="shared" si="9"/>
        <v>188545.58392839268</v>
      </c>
      <c r="V13" s="18">
        <f t="shared" si="0"/>
        <v>54369.918931668682</v>
      </c>
      <c r="W13" s="23">
        <f t="shared" si="10"/>
        <v>0.28836484949081442</v>
      </c>
      <c r="X13" s="40">
        <f t="shared" si="11"/>
        <v>3.6859325837516277E-2</v>
      </c>
      <c r="Z13" s="18">
        <f t="shared" si="12"/>
        <v>24245.109236334189</v>
      </c>
      <c r="AA13" s="4">
        <f t="shared" si="18"/>
        <v>11451.1371173888</v>
      </c>
      <c r="AB13" s="4">
        <f t="shared" si="19"/>
        <v>19245.109236334189</v>
      </c>
      <c r="AC13" s="19">
        <f t="shared" si="20"/>
        <v>4618.8262167202047</v>
      </c>
      <c r="AD13" s="42">
        <v>7</v>
      </c>
      <c r="AG13" s="2"/>
    </row>
    <row r="14" spans="1:33" x14ac:dyDescent="0.25">
      <c r="A14">
        <f t="shared" ca="1" si="13"/>
        <v>2034</v>
      </c>
      <c r="B14" s="42">
        <v>8</v>
      </c>
      <c r="C14" s="69">
        <f t="shared" si="14"/>
        <v>684284.52520263684</v>
      </c>
      <c r="D14" s="70">
        <f t="shared" si="15"/>
        <v>0.36856905040527366</v>
      </c>
      <c r="E14" s="61"/>
      <c r="F14" s="62">
        <f t="shared" si="1"/>
        <v>629541.7631864259</v>
      </c>
      <c r="G14" s="63">
        <f t="shared" si="2"/>
        <v>129541.7631864259</v>
      </c>
      <c r="H14" s="4">
        <f>'Fixed Payment Amortization'!I98</f>
        <v>355480.04979597771</v>
      </c>
      <c r="I14" s="22">
        <f t="shared" si="3"/>
        <v>274061.71339044819</v>
      </c>
      <c r="K14" s="18">
        <f>'Fixed Payment Amortization'!K98</f>
        <v>201359.45884882411</v>
      </c>
      <c r="L14" s="4">
        <f>'Fixed Payment Amortization'!L98</f>
        <v>44519.950204022192</v>
      </c>
      <c r="M14" s="4">
        <f t="shared" si="4"/>
        <v>24015.754971054081</v>
      </c>
      <c r="N14" s="4">
        <f t="shared" si="16"/>
        <v>168159.62924740609</v>
      </c>
      <c r="O14" s="4">
        <f t="shared" si="5"/>
        <v>414039.0383002524</v>
      </c>
      <c r="P14" s="4">
        <f t="shared" si="6"/>
        <v>39477.95337707521</v>
      </c>
      <c r="Q14" s="4">
        <f t="shared" si="17"/>
        <v>276426.78780395526</v>
      </c>
      <c r="R14" s="4">
        <f t="shared" si="7"/>
        <v>137612.25049629714</v>
      </c>
      <c r="S14" s="24">
        <f t="shared" si="8"/>
        <v>38306.385323717783</v>
      </c>
      <c r="T14" s="86">
        <f t="shared" si="9"/>
        <v>199305.86517257936</v>
      </c>
      <c r="V14" s="18">
        <f t="shared" si="0"/>
        <v>74755.848217868828</v>
      </c>
      <c r="W14" s="23">
        <f t="shared" si="10"/>
        <v>0.37508102510248542</v>
      </c>
      <c r="X14" s="40">
        <f t="shared" si="11"/>
        <v>4.0617286816741593E-2</v>
      </c>
      <c r="Z14" s="18">
        <f t="shared" si="12"/>
        <v>23801.860339158477</v>
      </c>
      <c r="AA14" s="4">
        <f t="shared" si="18"/>
        <v>11909.182602084355</v>
      </c>
      <c r="AB14" s="4">
        <f t="shared" si="19"/>
        <v>18801.860339158477</v>
      </c>
      <c r="AC14" s="19">
        <f t="shared" si="20"/>
        <v>4512.4464813980339</v>
      </c>
      <c r="AD14" s="42">
        <v>8</v>
      </c>
      <c r="AF14" s="4"/>
    </row>
    <row r="15" spans="1:33" x14ac:dyDescent="0.25">
      <c r="A15">
        <f t="shared" ca="1" si="13"/>
        <v>2035</v>
      </c>
      <c r="B15" s="42">
        <v>9</v>
      </c>
      <c r="C15" s="69">
        <f t="shared" si="14"/>
        <v>711655.90621074231</v>
      </c>
      <c r="D15" s="70">
        <f t="shared" si="15"/>
        <v>0.42331181242148452</v>
      </c>
      <c r="E15" s="61"/>
      <c r="F15" s="62">
        <f t="shared" si="1"/>
        <v>654723.43371388293</v>
      </c>
      <c r="G15" s="63">
        <f t="shared" si="2"/>
        <v>154723.43371388293</v>
      </c>
      <c r="H15" s="4">
        <f>'Fixed Payment Amortization'!I110</f>
        <v>348073.4615889322</v>
      </c>
      <c r="I15" s="22">
        <f t="shared" si="3"/>
        <v>306649.97212495073</v>
      </c>
      <c r="K15" s="18">
        <f>'Fixed Payment Amortization'!K110</f>
        <v>224687.79677338435</v>
      </c>
      <c r="L15" s="4">
        <f>'Fixed Payment Amortization'!L110</f>
        <v>51926.538411067697</v>
      </c>
      <c r="M15" s="4">
        <f t="shared" si="4"/>
        <v>24976.385169896243</v>
      </c>
      <c r="N15" s="4">
        <f t="shared" si="16"/>
        <v>193136.01441730233</v>
      </c>
      <c r="O15" s="4">
        <f t="shared" si="5"/>
        <v>469750.34960175439</v>
      </c>
      <c r="P15" s="4">
        <f t="shared" si="6"/>
        <v>41057.071512158225</v>
      </c>
      <c r="Q15" s="4">
        <f t="shared" si="17"/>
        <v>317483.85931611346</v>
      </c>
      <c r="R15" s="4">
        <f t="shared" si="7"/>
        <v>152266.49028564093</v>
      </c>
      <c r="S15" s="24">
        <f t="shared" si="8"/>
        <v>42705.186425612243</v>
      </c>
      <c r="T15" s="86">
        <f t="shared" si="9"/>
        <v>209561.30386002868</v>
      </c>
      <c r="V15" s="18">
        <f t="shared" si="0"/>
        <v>97088.668264922046</v>
      </c>
      <c r="W15" s="23">
        <f t="shared" si="10"/>
        <v>0.46329482817958612</v>
      </c>
      <c r="X15" s="40">
        <f t="shared" si="11"/>
        <v>4.3206307327231519E-2</v>
      </c>
      <c r="Z15" s="18">
        <f t="shared" si="12"/>
        <v>23328.337924560241</v>
      </c>
      <c r="AA15" s="4">
        <f t="shared" si="18"/>
        <v>12385.549906167727</v>
      </c>
      <c r="AB15" s="4">
        <f t="shared" si="19"/>
        <v>18328.337924560241</v>
      </c>
      <c r="AC15" s="19">
        <f t="shared" si="20"/>
        <v>4398.801101894458</v>
      </c>
      <c r="AD15" s="42">
        <v>9</v>
      </c>
    </row>
    <row r="16" spans="1:33" s="44" customFormat="1" x14ac:dyDescent="0.25">
      <c r="A16" s="44">
        <f t="shared" ca="1" si="13"/>
        <v>2036</v>
      </c>
      <c r="B16" s="43">
        <v>10</v>
      </c>
      <c r="C16" s="71">
        <f t="shared" si="14"/>
        <v>740122.14245917206</v>
      </c>
      <c r="D16" s="72">
        <f t="shared" si="15"/>
        <v>0.48024428491834414</v>
      </c>
      <c r="F16" s="45">
        <f t="shared" si="1"/>
        <v>680912.37106243835</v>
      </c>
      <c r="G16" s="64">
        <f t="shared" si="2"/>
        <v>180912.37106243835</v>
      </c>
      <c r="H16" s="46">
        <f>'Fixed Payment Amortization'!I122</f>
        <v>340161.00979473366</v>
      </c>
      <c r="I16" s="47">
        <f t="shared" si="3"/>
        <v>340751.36126770469</v>
      </c>
      <c r="K16" s="45">
        <f>'Fixed Payment Amortization'!K122</f>
        <v>247510.27111079171</v>
      </c>
      <c r="L16" s="46">
        <f>'Fixed Payment Amortization'!L122</f>
        <v>59838.990205266149</v>
      </c>
      <c r="M16" s="46">
        <f t="shared" si="4"/>
        <v>25975.440576692094</v>
      </c>
      <c r="N16" s="46">
        <f t="shared" si="16"/>
        <v>219111.45499399441</v>
      </c>
      <c r="O16" s="46">
        <f t="shared" si="5"/>
        <v>526460.71631005232</v>
      </c>
      <c r="P16" s="46">
        <f t="shared" si="6"/>
        <v>42699.354372644557</v>
      </c>
      <c r="Q16" s="46">
        <f t="shared" si="17"/>
        <v>360183.21368875803</v>
      </c>
      <c r="R16" s="46">
        <f t="shared" si="7"/>
        <v>166277.50262129429</v>
      </c>
      <c r="S16" s="48">
        <f t="shared" si="8"/>
        <v>46982.580266590012</v>
      </c>
      <c r="T16" s="47">
        <f t="shared" si="9"/>
        <v>219294.92235470429</v>
      </c>
      <c r="V16" s="45">
        <f t="shared" si="0"/>
        <v>121456.4389130004</v>
      </c>
      <c r="W16" s="49">
        <f t="shared" si="10"/>
        <v>0.55384975451710416</v>
      </c>
      <c r="X16" s="50">
        <f t="shared" si="11"/>
        <v>4.5059222877135818E-2</v>
      </c>
      <c r="Z16" s="45">
        <f t="shared" si="12"/>
        <v>22822.474337407359</v>
      </c>
      <c r="AA16" s="46">
        <f t="shared" si="18"/>
        <v>12880.971902414436</v>
      </c>
      <c r="AB16" s="46">
        <f t="shared" si="19"/>
        <v>17822.474337407359</v>
      </c>
      <c r="AC16" s="65">
        <f t="shared" si="20"/>
        <v>4277.3938409777656</v>
      </c>
      <c r="AD16" s="43">
        <v>10</v>
      </c>
    </row>
    <row r="17" spans="1:81" x14ac:dyDescent="0.25">
      <c r="A17">
        <f t="shared" ca="1" si="13"/>
        <v>2037</v>
      </c>
      <c r="B17" s="42">
        <v>11</v>
      </c>
      <c r="C17" s="69">
        <f t="shared" si="14"/>
        <v>769727.02815753897</v>
      </c>
      <c r="D17" s="70">
        <f t="shared" si="15"/>
        <v>0.53945405631507803</v>
      </c>
      <c r="E17" s="61"/>
      <c r="F17" s="62">
        <f t="shared" si="1"/>
        <v>708148.86590493587</v>
      </c>
      <c r="G17" s="63">
        <f t="shared" si="2"/>
        <v>208148.86590493587</v>
      </c>
      <c r="H17" s="4">
        <f>'Fixed Payment Amortization'!I134</f>
        <v>331708.14436663286</v>
      </c>
      <c r="I17" s="22">
        <f t="shared" si="3"/>
        <v>376440.72153830301</v>
      </c>
      <c r="K17" s="18">
        <f>'Fixed Payment Amortization'!K134</f>
        <v>269792.33181429666</v>
      </c>
      <c r="L17" s="4">
        <f>'Fixed Payment Amortization'!L134</f>
        <v>68291.855633366984</v>
      </c>
      <c r="M17" s="4">
        <f t="shared" si="4"/>
        <v>27014.458199759778</v>
      </c>
      <c r="N17" s="4">
        <f t="shared" si="16"/>
        <v>246125.91319375418</v>
      </c>
      <c r="O17" s="4">
        <f t="shared" si="5"/>
        <v>584210.10064141778</v>
      </c>
      <c r="P17" s="4">
        <f t="shared" si="6"/>
        <v>44407.328547550336</v>
      </c>
      <c r="Q17" s="4">
        <f t="shared" si="17"/>
        <v>404590.54223630833</v>
      </c>
      <c r="R17" s="4">
        <f t="shared" si="7"/>
        <v>179619.55840510945</v>
      </c>
      <c r="S17" s="24">
        <f t="shared" si="8"/>
        <v>51130.274835431199</v>
      </c>
      <c r="T17" s="86">
        <f t="shared" si="9"/>
        <v>228489.28356967826</v>
      </c>
      <c r="V17" s="18">
        <f t="shared" si="0"/>
        <v>147951.43796862476</v>
      </c>
      <c r="W17" s="23">
        <f t="shared" si="10"/>
        <v>0.64752024977795797</v>
      </c>
      <c r="X17" s="40">
        <f t="shared" si="11"/>
        <v>4.6434109353343356E-2</v>
      </c>
      <c r="Z17" s="18">
        <f t="shared" si="12"/>
        <v>22282.060703504947</v>
      </c>
      <c r="AA17" s="4">
        <f t="shared" si="18"/>
        <v>13396.210778511015</v>
      </c>
      <c r="AB17" s="4">
        <f t="shared" si="19"/>
        <v>17282.060703504947</v>
      </c>
      <c r="AC17" s="19">
        <f t="shared" si="20"/>
        <v>4147.694568841187</v>
      </c>
      <c r="AD17" s="42">
        <v>11</v>
      </c>
    </row>
    <row r="18" spans="1:81" x14ac:dyDescent="0.25">
      <c r="A18">
        <f t="shared" ca="1" si="13"/>
        <v>2038</v>
      </c>
      <c r="B18" s="42">
        <v>12</v>
      </c>
      <c r="C18" s="69">
        <f t="shared" si="14"/>
        <v>800516.10928384052</v>
      </c>
      <c r="D18" s="70">
        <f t="shared" si="15"/>
        <v>0.60103221856768108</v>
      </c>
      <c r="E18" s="61"/>
      <c r="F18" s="62">
        <f t="shared" si="1"/>
        <v>736474.82054113329</v>
      </c>
      <c r="G18" s="63">
        <f t="shared" si="2"/>
        <v>236474.82054113329</v>
      </c>
      <c r="H18" s="4">
        <f>'Fixed Payment Amortization'!I146</f>
        <v>330978.20590268984</v>
      </c>
      <c r="I18" s="22">
        <f t="shared" si="3"/>
        <v>405496.61463844345</v>
      </c>
      <c r="K18" s="18">
        <f>'Fixed Payment Amortization'!K146</f>
        <v>271623.63719465409</v>
      </c>
      <c r="L18" s="4">
        <f>'Fixed Payment Amortization'!L146</f>
        <v>69021.794097310019</v>
      </c>
      <c r="M18" s="4">
        <f t="shared" si="4"/>
        <v>28095.03652775017</v>
      </c>
      <c r="N18" s="4">
        <f t="shared" si="16"/>
        <v>274220.94972150435</v>
      </c>
      <c r="O18" s="4">
        <f t="shared" si="5"/>
        <v>614866.38101346849</v>
      </c>
      <c r="P18" s="4">
        <f t="shared" si="6"/>
        <v>46183.621689452346</v>
      </c>
      <c r="Q18" s="4">
        <f t="shared" si="17"/>
        <v>450774.16392576066</v>
      </c>
      <c r="R18" s="4">
        <f t="shared" si="7"/>
        <v>164092.21708770783</v>
      </c>
      <c r="S18" s="24">
        <f t="shared" si="8"/>
        <v>51130.274835431199</v>
      </c>
      <c r="T18" s="86">
        <f t="shared" si="9"/>
        <v>212961.94225227664</v>
      </c>
      <c r="V18" s="18">
        <f t="shared" si="0"/>
        <v>192534.67238616681</v>
      </c>
      <c r="W18" s="23">
        <f t="shared" si="10"/>
        <v>0.90408018611179131</v>
      </c>
      <c r="X18" s="40">
        <f t="shared" si="11"/>
        <v>5.5132749057778208E-2</v>
      </c>
      <c r="Z18" s="18">
        <f t="shared" si="12"/>
        <v>1831.3053803574294</v>
      </c>
      <c r="AA18" s="4">
        <f t="shared" si="18"/>
        <v>13932.059209651456</v>
      </c>
      <c r="AB18" s="4">
        <f t="shared" si="19"/>
        <v>-3168.6946196425706</v>
      </c>
      <c r="AC18" s="19">
        <f t="shared" si="20"/>
        <v>-760.48670871421689</v>
      </c>
      <c r="AD18" s="42">
        <v>12</v>
      </c>
    </row>
    <row r="19" spans="1:81" x14ac:dyDescent="0.25">
      <c r="A19">
        <f t="shared" ca="1" si="13"/>
        <v>2039</v>
      </c>
      <c r="B19" s="42">
        <v>13</v>
      </c>
      <c r="C19" s="69">
        <f t="shared" si="14"/>
        <v>832536.75365519419</v>
      </c>
      <c r="D19" s="70">
        <f t="shared" si="15"/>
        <v>0.66507350731038839</v>
      </c>
      <c r="E19" s="61"/>
      <c r="F19" s="62">
        <f t="shared" si="1"/>
        <v>765933.81336277863</v>
      </c>
      <c r="G19" s="63">
        <f t="shared" si="2"/>
        <v>265933.81336277863</v>
      </c>
      <c r="H19" s="4">
        <f>'Fixed Payment Amortization'!I158</f>
        <v>330244.23757014377</v>
      </c>
      <c r="I19" s="22">
        <f t="shared" si="3"/>
        <v>435689.57579263486</v>
      </c>
      <c r="K19" s="18">
        <f>'Fixed Payment Amortization'!K158</f>
        <v>273450.91270640853</v>
      </c>
      <c r="L19" s="4">
        <f>'Fixed Payment Amortization'!L158</f>
        <v>69755.76242985607</v>
      </c>
      <c r="M19" s="4">
        <f t="shared" si="4"/>
        <v>29218.837988860178</v>
      </c>
      <c r="N19" s="4">
        <f t="shared" si="16"/>
        <v>303439.78771036456</v>
      </c>
      <c r="O19" s="4">
        <f t="shared" si="5"/>
        <v>646646.46284662909</v>
      </c>
      <c r="P19" s="4">
        <f t="shared" si="6"/>
        <v>48030.96655703045</v>
      </c>
      <c r="Q19" s="4">
        <f t="shared" si="17"/>
        <v>498805.13048279111</v>
      </c>
      <c r="R19" s="4">
        <f t="shared" si="7"/>
        <v>147841.33236383798</v>
      </c>
      <c r="S19" s="24">
        <f t="shared" si="8"/>
        <v>51130.274835431199</v>
      </c>
      <c r="T19" s="86">
        <f t="shared" si="9"/>
        <v>196711.05752840679</v>
      </c>
      <c r="V19" s="18">
        <f t="shared" si="0"/>
        <v>238978.51826422807</v>
      </c>
      <c r="W19" s="23">
        <f t="shared" si="10"/>
        <v>1.214870792048472</v>
      </c>
      <c r="X19" s="40">
        <f t="shared" si="11"/>
        <v>6.3078319570102348E-2</v>
      </c>
      <c r="Z19" s="18">
        <f t="shared" si="12"/>
        <v>1827.2755117544439</v>
      </c>
      <c r="AA19" s="4">
        <f t="shared" si="18"/>
        <v>14489.341578037514</v>
      </c>
      <c r="AB19" s="4">
        <f t="shared" si="19"/>
        <v>-3172.7244882455561</v>
      </c>
      <c r="AC19" s="19">
        <f t="shared" si="20"/>
        <v>-761.45387717893345</v>
      </c>
      <c r="AD19" s="42">
        <v>13</v>
      </c>
    </row>
    <row r="20" spans="1:81" x14ac:dyDescent="0.25">
      <c r="A20">
        <f t="shared" ca="1" si="13"/>
        <v>2040</v>
      </c>
      <c r="B20" s="42">
        <v>14</v>
      </c>
      <c r="C20" s="69">
        <f t="shared" si="14"/>
        <v>865838.22380140203</v>
      </c>
      <c r="D20" s="70">
        <f t="shared" si="15"/>
        <v>0.73167644760280415</v>
      </c>
      <c r="E20" s="61"/>
      <c r="F20" s="62">
        <f t="shared" si="1"/>
        <v>796571.16589728987</v>
      </c>
      <c r="G20" s="63">
        <f t="shared" si="2"/>
        <v>296571.16589728987</v>
      </c>
      <c r="H20" s="4">
        <f>'Fixed Payment Amortization'!I170</f>
        <v>329506.21712076181</v>
      </c>
      <c r="I20" s="22">
        <f t="shared" si="3"/>
        <v>467064.94877652806</v>
      </c>
      <c r="K20" s="18">
        <f>'Fixed Payment Amortization'!K170</f>
        <v>275274.13610132702</v>
      </c>
      <c r="L20" s="4">
        <f>'Fixed Payment Amortization'!L170</f>
        <v>70493.782879238046</v>
      </c>
      <c r="M20" s="4">
        <f t="shared" si="4"/>
        <v>30387.591508414585</v>
      </c>
      <c r="N20" s="4">
        <f t="shared" si="16"/>
        <v>333827.37921877916</v>
      </c>
      <c r="O20" s="4">
        <f t="shared" si="5"/>
        <v>679595.29819934419</v>
      </c>
      <c r="P20" s="4">
        <f t="shared" si="6"/>
        <v>49952.205219311669</v>
      </c>
      <c r="Q20" s="4">
        <f t="shared" si="17"/>
        <v>548757.33570210275</v>
      </c>
      <c r="R20" s="4">
        <f t="shared" si="7"/>
        <v>130837.96249724145</v>
      </c>
      <c r="S20" s="24">
        <f t="shared" si="8"/>
        <v>51130.274835431199</v>
      </c>
      <c r="T20" s="86">
        <f t="shared" si="9"/>
        <v>179707.68766181025</v>
      </c>
      <c r="V20" s="18">
        <f t="shared" si="0"/>
        <v>287357.26111471781</v>
      </c>
      <c r="W20" s="23">
        <f t="shared" si="10"/>
        <v>1.599025978540729</v>
      </c>
      <c r="X20" s="40">
        <f t="shared" si="11"/>
        <v>7.0605154608837983E-2</v>
      </c>
      <c r="Z20" s="18">
        <f t="shared" si="12"/>
        <v>1823.2233949184883</v>
      </c>
      <c r="AA20" s="4">
        <f t="shared" si="18"/>
        <v>15068.915241159017</v>
      </c>
      <c r="AB20" s="4">
        <f t="shared" si="19"/>
        <v>-3176.7766050815117</v>
      </c>
      <c r="AC20" s="19">
        <f t="shared" si="20"/>
        <v>-762.4263852195628</v>
      </c>
      <c r="AD20" s="42">
        <v>14</v>
      </c>
    </row>
    <row r="21" spans="1:81" s="44" customFormat="1" x14ac:dyDescent="0.25">
      <c r="A21" s="44">
        <f t="shared" ca="1" si="13"/>
        <v>2041</v>
      </c>
      <c r="B21" s="43">
        <v>15</v>
      </c>
      <c r="C21" s="71">
        <f t="shared" si="14"/>
        <v>900471.7527534581</v>
      </c>
      <c r="D21" s="72">
        <f t="shared" si="15"/>
        <v>0.80094350550691629</v>
      </c>
      <c r="F21" s="45">
        <f t="shared" si="1"/>
        <v>828434.01253318146</v>
      </c>
      <c r="G21" s="64">
        <f t="shared" si="2"/>
        <v>328434.01253318146</v>
      </c>
      <c r="H21" s="46">
        <f>'Fixed Payment Amortization'!I182</f>
        <v>328764.12218348222</v>
      </c>
      <c r="I21" s="47">
        <f t="shared" si="3"/>
        <v>499669.89034969924</v>
      </c>
      <c r="K21" s="45">
        <f>'Fixed Payment Amortization'!K182</f>
        <v>277093.28500834788</v>
      </c>
      <c r="L21" s="46">
        <f>'Fixed Payment Amortization'!L182</f>
        <v>71235.877816517663</v>
      </c>
      <c r="M21" s="46">
        <f t="shared" si="4"/>
        <v>31603.09516875117</v>
      </c>
      <c r="N21" s="46">
        <f t="shared" si="16"/>
        <v>365430.47438753035</v>
      </c>
      <c r="O21" s="46">
        <f t="shared" si="5"/>
        <v>713759.6372123959</v>
      </c>
      <c r="P21" s="46">
        <f t="shared" si="6"/>
        <v>51950.293428084136</v>
      </c>
      <c r="Q21" s="46">
        <f t="shared" si="17"/>
        <v>600707.62913018686</v>
      </c>
      <c r="R21" s="46">
        <f t="shared" si="7"/>
        <v>113052.00808220904</v>
      </c>
      <c r="S21" s="48">
        <f t="shared" si="8"/>
        <v>51130.274835431199</v>
      </c>
      <c r="T21" s="47">
        <f t="shared" si="9"/>
        <v>161921.73324677785</v>
      </c>
      <c r="V21" s="45">
        <f t="shared" si="0"/>
        <v>337748.1571029214</v>
      </c>
      <c r="W21" s="49">
        <f t="shared" si="10"/>
        <v>2.0858729111315415</v>
      </c>
      <c r="X21" s="50">
        <f t="shared" si="11"/>
        <v>7.8015989258686247E-2</v>
      </c>
      <c r="Z21" s="45">
        <f t="shared" si="12"/>
        <v>1819.1489070208627</v>
      </c>
      <c r="AA21" s="46">
        <f t="shared" si="18"/>
        <v>15671.671850805378</v>
      </c>
      <c r="AB21" s="46">
        <f t="shared" si="19"/>
        <v>-3180.8510929791373</v>
      </c>
      <c r="AC21" s="65">
        <f t="shared" si="20"/>
        <v>-763.40426231499293</v>
      </c>
      <c r="AD21" s="43">
        <v>15</v>
      </c>
    </row>
    <row r="22" spans="1:81" x14ac:dyDescent="0.25">
      <c r="A22">
        <f t="shared" ca="1" si="13"/>
        <v>2042</v>
      </c>
      <c r="B22" s="42">
        <v>16</v>
      </c>
      <c r="C22" s="69">
        <f t="shared" si="14"/>
        <v>936490.62286359642</v>
      </c>
      <c r="D22" s="70">
        <f t="shared" si="15"/>
        <v>0.87298124572719282</v>
      </c>
      <c r="E22" s="61"/>
      <c r="F22" s="62">
        <f t="shared" si="1"/>
        <v>861571.37303450878</v>
      </c>
      <c r="G22" s="63">
        <f t="shared" si="2"/>
        <v>361571.37303450878</v>
      </c>
      <c r="H22" s="4">
        <f>'Fixed Payment Amortization'!I194</f>
        <v>328017.9302637364</v>
      </c>
      <c r="I22" s="22">
        <f t="shared" si="3"/>
        <v>533553.44277077238</v>
      </c>
      <c r="K22" s="18">
        <f>'Fixed Payment Amortization'!K194</f>
        <v>278908.33693290252</v>
      </c>
      <c r="L22" s="4">
        <f>'Fixed Payment Amortization'!L194</f>
        <v>71982.069736263511</v>
      </c>
      <c r="M22" s="4">
        <f t="shared" si="4"/>
        <v>32867.218975501222</v>
      </c>
      <c r="N22" s="4">
        <f t="shared" si="16"/>
        <v>398297.69336303161</v>
      </c>
      <c r="O22" s="4">
        <f t="shared" si="5"/>
        <v>749188.10003219766</v>
      </c>
      <c r="P22" s="4">
        <f t="shared" si="6"/>
        <v>54028.305165207501</v>
      </c>
      <c r="Q22" s="4">
        <f t="shared" si="17"/>
        <v>654735.93429539434</v>
      </c>
      <c r="R22" s="4">
        <f t="shared" si="7"/>
        <v>94452.165736803319</v>
      </c>
      <c r="S22" s="24">
        <f t="shared" si="8"/>
        <v>51130.274835431199</v>
      </c>
      <c r="T22" s="86">
        <f t="shared" si="9"/>
        <v>143321.89090137213</v>
      </c>
      <c r="V22" s="18">
        <f t="shared" si="0"/>
        <v>390231.55186940025</v>
      </c>
      <c r="W22" s="23">
        <f t="shared" si="10"/>
        <v>2.7227630713994735</v>
      </c>
      <c r="X22" s="40">
        <f t="shared" si="11"/>
        <v>8.5623129028138623E-2</v>
      </c>
      <c r="Z22" s="18">
        <f t="shared" si="12"/>
        <v>1815.0519245546311</v>
      </c>
      <c r="AA22" s="4">
        <f t="shared" si="18"/>
        <v>16298.538724837594</v>
      </c>
      <c r="AB22" s="4">
        <f t="shared" si="19"/>
        <v>-3184.9480754453689</v>
      </c>
      <c r="AC22" s="19">
        <f t="shared" si="20"/>
        <v>-764.38753810688854</v>
      </c>
      <c r="AD22" s="42">
        <v>16</v>
      </c>
    </row>
    <row r="23" spans="1:81" x14ac:dyDescent="0.25">
      <c r="A23">
        <f t="shared" ca="1" si="13"/>
        <v>2043</v>
      </c>
      <c r="B23" s="42">
        <v>17</v>
      </c>
      <c r="C23" s="69">
        <f t="shared" si="14"/>
        <v>973950.24777814036</v>
      </c>
      <c r="D23" s="70">
        <f t="shared" si="15"/>
        <v>0.94790049555628064</v>
      </c>
      <c r="E23" s="61"/>
      <c r="F23" s="62">
        <f t="shared" si="1"/>
        <v>896034.22795588919</v>
      </c>
      <c r="G23" s="63">
        <f t="shared" si="2"/>
        <v>396034.22795588919</v>
      </c>
      <c r="H23" s="4">
        <f>'Fixed Payment Amortization'!I206</f>
        <v>327267.61874276696</v>
      </c>
      <c r="I23" s="22">
        <f t="shared" si="3"/>
        <v>568766.60921312217</v>
      </c>
      <c r="K23" s="18">
        <f>'Fixed Payment Amortization'!K206</f>
        <v>280719.26925623359</v>
      </c>
      <c r="L23" s="4">
        <f>'Fixed Payment Amortization'!L206</f>
        <v>72732.381257232948</v>
      </c>
      <c r="M23" s="4">
        <f t="shared" si="4"/>
        <v>34181.907734521265</v>
      </c>
      <c r="N23" s="4">
        <f t="shared" si="16"/>
        <v>432479.60109755286</v>
      </c>
      <c r="O23" s="4">
        <f t="shared" si="5"/>
        <v>785931.25161101948</v>
      </c>
      <c r="P23" s="4">
        <f t="shared" si="6"/>
        <v>56189.437371815817</v>
      </c>
      <c r="Q23" s="4">
        <f t="shared" si="17"/>
        <v>710925.37166721013</v>
      </c>
      <c r="R23" s="4">
        <f t="shared" si="7"/>
        <v>75005.879943809356</v>
      </c>
      <c r="S23" s="24">
        <f t="shared" si="8"/>
        <v>51130.274835431199</v>
      </c>
      <c r="T23" s="86">
        <f t="shared" si="9"/>
        <v>123875.60510837816</v>
      </c>
      <c r="V23" s="18">
        <f t="shared" si="0"/>
        <v>444891.004104744</v>
      </c>
      <c r="W23" s="23">
        <f t="shared" si="10"/>
        <v>3.5914335491278608</v>
      </c>
      <c r="X23" s="40">
        <f t="shared" si="11"/>
        <v>9.3800545134808511E-2</v>
      </c>
      <c r="Z23" s="18">
        <f t="shared" si="12"/>
        <v>1810.9323233310715</v>
      </c>
      <c r="AA23" s="4">
        <f t="shared" si="18"/>
        <v>16950.480273831097</v>
      </c>
      <c r="AB23" s="4">
        <f t="shared" si="19"/>
        <v>-3189.0676766689285</v>
      </c>
      <c r="AC23" s="19">
        <f t="shared" si="20"/>
        <v>-765.37624240054276</v>
      </c>
      <c r="AD23" s="42">
        <v>17</v>
      </c>
      <c r="CC23" s="39"/>
    </row>
    <row r="24" spans="1:81" x14ac:dyDescent="0.25">
      <c r="A24">
        <f t="shared" ca="1" si="13"/>
        <v>2044</v>
      </c>
      <c r="B24" s="42">
        <v>18</v>
      </c>
      <c r="C24" s="69">
        <f t="shared" si="14"/>
        <v>1012908.257689266</v>
      </c>
      <c r="D24" s="70">
        <f t="shared" si="15"/>
        <v>1.0258165153785321</v>
      </c>
      <c r="E24" s="61"/>
      <c r="F24" s="62">
        <f t="shared" si="1"/>
        <v>931875.59707412473</v>
      </c>
      <c r="G24" s="63">
        <f t="shared" si="2"/>
        <v>431875.59707412473</v>
      </c>
      <c r="H24" s="4">
        <f>'Fixed Payment Amortization'!I218</f>
        <v>326513.16487694217</v>
      </c>
      <c r="I24" s="22">
        <f t="shared" si="3"/>
        <v>605362.43219718256</v>
      </c>
      <c r="K24" s="18">
        <f>'Fixed Payment Amortization'!K218</f>
        <v>282526.0592347093</v>
      </c>
      <c r="L24" s="4">
        <f>'Fixed Payment Amortization'!L218</f>
        <v>73486.835123057739</v>
      </c>
      <c r="M24" s="4">
        <f t="shared" si="4"/>
        <v>35549.184043902118</v>
      </c>
      <c r="N24" s="4">
        <f t="shared" si="16"/>
        <v>468028.78514145501</v>
      </c>
      <c r="O24" s="4">
        <f t="shared" si="5"/>
        <v>824041.67949922208</v>
      </c>
      <c r="P24" s="4">
        <f t="shared" si="6"/>
        <v>58437.014866688442</v>
      </c>
      <c r="Q24" s="4">
        <f t="shared" si="17"/>
        <v>769362.38653389853</v>
      </c>
      <c r="R24" s="4">
        <f t="shared" si="7"/>
        <v>54679.292965323548</v>
      </c>
      <c r="S24" s="24">
        <f t="shared" si="8"/>
        <v>51130.274835431199</v>
      </c>
      <c r="T24" s="86">
        <f t="shared" si="9"/>
        <v>103549.01812989236</v>
      </c>
      <c r="V24" s="18">
        <f t="shared" si="0"/>
        <v>501813.4140672902</v>
      </c>
      <c r="W24" s="23">
        <f t="shared" si="10"/>
        <v>4.846143624827163</v>
      </c>
      <c r="X24" s="40">
        <f t="shared" si="11"/>
        <v>0.1030719981962851</v>
      </c>
      <c r="Z24" s="18">
        <f t="shared" si="12"/>
        <v>1806.7899784757174</v>
      </c>
      <c r="AA24" s="4">
        <f t="shared" si="18"/>
        <v>17628.499484784341</v>
      </c>
      <c r="AB24" s="4">
        <f t="shared" si="19"/>
        <v>-3193.2100215242826</v>
      </c>
      <c r="AC24" s="19">
        <f t="shared" si="20"/>
        <v>-766.37040516582783</v>
      </c>
      <c r="AD24" s="42">
        <v>18</v>
      </c>
    </row>
    <row r="25" spans="1:81" x14ac:dyDescent="0.25">
      <c r="A25">
        <f t="shared" ca="1" si="13"/>
        <v>2045</v>
      </c>
      <c r="B25" s="42">
        <v>19</v>
      </c>
      <c r="C25" s="69">
        <f t="shared" si="14"/>
        <v>1053424.5879968368</v>
      </c>
      <c r="D25" s="70">
        <f t="shared" si="15"/>
        <v>1.1068491759936734</v>
      </c>
      <c r="E25" s="61"/>
      <c r="F25" s="62">
        <f t="shared" si="1"/>
        <v>969150.62095708982</v>
      </c>
      <c r="G25" s="63">
        <f t="shared" si="2"/>
        <v>469150.62095708982</v>
      </c>
      <c r="H25" s="4">
        <f>'Fixed Payment Amortization'!I230</f>
        <v>325754.54579706647</v>
      </c>
      <c r="I25" s="22">
        <f t="shared" si="3"/>
        <v>643396.07516002329</v>
      </c>
      <c r="K25" s="18">
        <f>'Fixed Payment Amortization'!K230</f>
        <v>284328.68399913411</v>
      </c>
      <c r="L25" s="4">
        <f>'Fixed Payment Amortization'!L230</f>
        <v>74245.454202933441</v>
      </c>
      <c r="M25" s="4">
        <f t="shared" si="4"/>
        <v>36971.151405658209</v>
      </c>
      <c r="N25" s="4">
        <f t="shared" si="16"/>
        <v>504999.93654711323</v>
      </c>
      <c r="O25" s="4">
        <f t="shared" si="5"/>
        <v>863574.07474918081</v>
      </c>
      <c r="P25" s="4">
        <f t="shared" si="6"/>
        <v>60774.495461355982</v>
      </c>
      <c r="Q25" s="4">
        <f t="shared" si="17"/>
        <v>830136.88199525455</v>
      </c>
      <c r="R25" s="4">
        <f t="shared" si="7"/>
        <v>33437.192753926269</v>
      </c>
      <c r="S25" s="24">
        <f t="shared" si="8"/>
        <v>51130.274835431199</v>
      </c>
      <c r="T25" s="86">
        <f t="shared" si="9"/>
        <v>82306.917918495077</v>
      </c>
      <c r="V25" s="18">
        <f t="shared" si="0"/>
        <v>561089.15724152816</v>
      </c>
      <c r="W25" s="23">
        <f t="shared" si="10"/>
        <v>6.8170352071395763</v>
      </c>
      <c r="X25" s="40">
        <f t="shared" si="11"/>
        <v>0.1143002144617824</v>
      </c>
      <c r="Z25" s="18">
        <f t="shared" si="12"/>
        <v>1802.6247644248069</v>
      </c>
      <c r="AA25" s="4">
        <f t="shared" si="18"/>
        <v>18333.639464175718</v>
      </c>
      <c r="AB25" s="4">
        <f t="shared" si="19"/>
        <v>-3197.3752355751931</v>
      </c>
      <c r="AC25" s="19">
        <f t="shared" si="20"/>
        <v>-767.37005653804636</v>
      </c>
      <c r="AD25" s="42">
        <v>19</v>
      </c>
      <c r="AM25" s="24"/>
    </row>
    <row r="26" spans="1:81" s="44" customFormat="1" x14ac:dyDescent="0.25">
      <c r="A26" s="44">
        <f t="shared" ca="1" si="13"/>
        <v>2046</v>
      </c>
      <c r="B26" s="43">
        <v>20</v>
      </c>
      <c r="C26" s="71">
        <f t="shared" si="14"/>
        <v>1095561.5715167103</v>
      </c>
      <c r="D26" s="72">
        <f t="shared" si="15"/>
        <v>1.1911231430334208</v>
      </c>
      <c r="F26" s="45">
        <f t="shared" si="1"/>
        <v>1007916.6457953736</v>
      </c>
      <c r="G26" s="64">
        <f t="shared" si="2"/>
        <v>507916.6457953736</v>
      </c>
      <c r="H26" s="46">
        <f>'Fixed Payment Amortization'!I242</f>
        <v>324991.73850768729</v>
      </c>
      <c r="I26" s="47">
        <f t="shared" si="3"/>
        <v>682924.90728768636</v>
      </c>
      <c r="K26" s="45">
        <f>'Fixed Payment Amortization'!K242</f>
        <v>286127.12055405544</v>
      </c>
      <c r="L26" s="46">
        <f>'Fixed Payment Amortization'!L242</f>
        <v>75008.261492312624</v>
      </c>
      <c r="M26" s="46">
        <f t="shared" si="4"/>
        <v>38449.997461884537</v>
      </c>
      <c r="N26" s="46">
        <f t="shared" si="16"/>
        <v>543449.93400899775</v>
      </c>
      <c r="O26" s="46">
        <f t="shared" si="5"/>
        <v>904585.31605536584</v>
      </c>
      <c r="P26" s="46">
        <f t="shared" si="6"/>
        <v>63205.475279810227</v>
      </c>
      <c r="Q26" s="46">
        <f t="shared" si="17"/>
        <v>893342.3572750648</v>
      </c>
      <c r="R26" s="46">
        <f t="shared" si="7"/>
        <v>11242.958780301036</v>
      </c>
      <c r="S26" s="48">
        <f t="shared" si="8"/>
        <v>51130.274835431199</v>
      </c>
      <c r="T26" s="47">
        <f t="shared" si="9"/>
        <v>60112.683944869837</v>
      </c>
      <c r="V26" s="45">
        <f t="shared" si="0"/>
        <v>622812.22334281658</v>
      </c>
      <c r="W26" s="49">
        <f t="shared" si="10"/>
        <v>10.360745561020135</v>
      </c>
      <c r="X26" s="50">
        <f t="shared" si="11"/>
        <v>0.12919862765962531</v>
      </c>
      <c r="Z26" s="45">
        <f t="shared" si="12"/>
        <v>1798.4365549213253</v>
      </c>
      <c r="AA26" s="46">
        <f t="shared" si="18"/>
        <v>19066.985042742748</v>
      </c>
      <c r="AB26" s="46">
        <f t="shared" si="19"/>
        <v>-3201.5634450786747</v>
      </c>
      <c r="AC26" s="65">
        <f t="shared" si="20"/>
        <v>-768.37522681888186</v>
      </c>
      <c r="AD26" s="43">
        <v>20</v>
      </c>
      <c r="AM26" s="48"/>
    </row>
    <row r="27" spans="1:81" x14ac:dyDescent="0.25">
      <c r="A27">
        <f t="shared" ca="1" si="13"/>
        <v>2047</v>
      </c>
      <c r="B27" s="42">
        <v>21</v>
      </c>
      <c r="C27" s="69">
        <f t="shared" si="14"/>
        <v>1139384.0343773789</v>
      </c>
      <c r="D27" s="70">
        <f t="shared" si="15"/>
        <v>1.2787680687547578</v>
      </c>
      <c r="E27" s="61"/>
      <c r="F27" s="62">
        <f t="shared" si="1"/>
        <v>1048233.3116271886</v>
      </c>
      <c r="G27" s="63">
        <f t="shared" si="2"/>
        <v>548233.31162718858</v>
      </c>
      <c r="H27" s="4">
        <f>'Fixed Payment Amortization'!I254</f>
        <v>324224.719886398</v>
      </c>
      <c r="I27" s="22">
        <f t="shared" si="3"/>
        <v>724008.59174079052</v>
      </c>
      <c r="K27" s="18">
        <f>'Fixed Payment Amortization'!K254</f>
        <v>287921.3457770666</v>
      </c>
      <c r="L27" s="4">
        <f>'Fixed Payment Amortization'!L254</f>
        <v>75775.280113601912</v>
      </c>
      <c r="M27" s="4">
        <f t="shared" si="4"/>
        <v>39987.997360359921</v>
      </c>
      <c r="N27" s="4">
        <f t="shared" si="16"/>
        <v>583437.93136935763</v>
      </c>
      <c r="O27" s="4">
        <f t="shared" si="5"/>
        <v>947134.55726002611</v>
      </c>
      <c r="P27" s="4">
        <f t="shared" si="6"/>
        <v>65733.694291002641</v>
      </c>
      <c r="Q27" s="4">
        <f t="shared" si="17"/>
        <v>959076.05156606738</v>
      </c>
      <c r="R27" s="4">
        <f t="shared" si="7"/>
        <v>-11941.494306041277</v>
      </c>
      <c r="S27" s="24">
        <f t="shared" si="8"/>
        <v>51130.274835431199</v>
      </c>
      <c r="T27" s="86">
        <f t="shared" si="9"/>
        <v>36928.230858527524</v>
      </c>
      <c r="V27" s="18">
        <f t="shared" si="0"/>
        <v>687080.36088226305</v>
      </c>
      <c r="W27" s="23">
        <f t="shared" si="10"/>
        <v>18.605829331886376</v>
      </c>
      <c r="X27" s="40">
        <f t="shared" si="11"/>
        <v>0.15223789221630724</v>
      </c>
      <c r="Z27" s="18">
        <f t="shared" si="12"/>
        <v>1794.2252230111626</v>
      </c>
      <c r="AA27" s="4">
        <f t="shared" si="18"/>
        <v>19829.664444452457</v>
      </c>
      <c r="AB27" s="4">
        <f t="shared" si="19"/>
        <v>-3205.7747769888374</v>
      </c>
      <c r="AC27" s="19">
        <f t="shared" si="20"/>
        <v>-769.385946477321</v>
      </c>
      <c r="AD27" s="42">
        <v>21</v>
      </c>
      <c r="AM27" s="24"/>
    </row>
    <row r="28" spans="1:81" x14ac:dyDescent="0.25">
      <c r="A28">
        <f t="shared" ca="1" si="13"/>
        <v>2048</v>
      </c>
      <c r="B28" s="42">
        <v>22</v>
      </c>
      <c r="C28" s="69">
        <f t="shared" si="14"/>
        <v>1184959.395752474</v>
      </c>
      <c r="D28" s="70">
        <f t="shared" si="15"/>
        <v>1.369918791504948</v>
      </c>
      <c r="E28" s="61"/>
      <c r="F28" s="62">
        <f t="shared" si="1"/>
        <v>1090162.644092276</v>
      </c>
      <c r="G28" s="63">
        <f t="shared" si="2"/>
        <v>590162.64409227599</v>
      </c>
      <c r="H28" s="4">
        <f>'Fixed Payment Amortization'!I266</f>
        <v>323453.466683137</v>
      </c>
      <c r="I28" s="22">
        <f t="shared" si="3"/>
        <v>766709.177409139</v>
      </c>
      <c r="K28" s="18">
        <f>'Fixed Payment Amortization'!K266</f>
        <v>289711.3364181061</v>
      </c>
      <c r="L28" s="4">
        <f>'Fixed Payment Amortization'!L266</f>
        <v>76546.5333168629</v>
      </c>
      <c r="M28" s="4">
        <f t="shared" si="4"/>
        <v>41587.517254774328</v>
      </c>
      <c r="N28" s="4">
        <f t="shared" si="16"/>
        <v>625025.44862413197</v>
      </c>
      <c r="O28" s="4">
        <f t="shared" si="5"/>
        <v>991283.31835910096</v>
      </c>
      <c r="P28" s="4">
        <f t="shared" si="6"/>
        <v>68363.042062642766</v>
      </c>
      <c r="Q28" s="4">
        <f t="shared" si="17"/>
        <v>1027439.0936287101</v>
      </c>
      <c r="R28" s="4">
        <f t="shared" si="7"/>
        <v>-36155.775269609177</v>
      </c>
      <c r="S28" s="24">
        <f t="shared" si="8"/>
        <v>51130.274835431199</v>
      </c>
      <c r="T28" s="86">
        <f t="shared" si="9"/>
        <v>12713.949894959624</v>
      </c>
      <c r="V28" s="18">
        <f t="shared" si="0"/>
        <v>753995.22751417942</v>
      </c>
      <c r="W28" s="23">
        <f t="shared" si="10"/>
        <v>59.304561819383657</v>
      </c>
      <c r="X28" s="40">
        <f t="shared" si="11"/>
        <v>0.20482787695958371</v>
      </c>
      <c r="Z28" s="18">
        <f t="shared" si="12"/>
        <v>1789.9906410395051</v>
      </c>
      <c r="AA28" s="4">
        <f t="shared" si="18"/>
        <v>20622.851022230559</v>
      </c>
      <c r="AB28" s="4">
        <f t="shared" si="19"/>
        <v>-3210.0093589604949</v>
      </c>
      <c r="AC28" s="19">
        <f t="shared" si="20"/>
        <v>-770.40224615051875</v>
      </c>
      <c r="AD28" s="42">
        <v>22</v>
      </c>
      <c r="AM28" s="24"/>
    </row>
    <row r="29" spans="1:81" x14ac:dyDescent="0.25">
      <c r="A29">
        <f t="shared" ca="1" si="13"/>
        <v>2049</v>
      </c>
      <c r="B29" s="42">
        <v>23</v>
      </c>
      <c r="C29" s="69">
        <f t="shared" si="14"/>
        <v>1232357.771582573</v>
      </c>
      <c r="D29" s="70">
        <f t="shared" si="15"/>
        <v>1.4647155431651457</v>
      </c>
      <c r="E29" s="61"/>
      <c r="F29" s="62">
        <f t="shared" si="1"/>
        <v>1133769.1498559671</v>
      </c>
      <c r="G29" s="63">
        <f t="shared" si="2"/>
        <v>633769.14985596715</v>
      </c>
      <c r="H29" s="4">
        <f>'Fixed Payment Amortization'!I278</f>
        <v>322677.95551948302</v>
      </c>
      <c r="I29" s="22">
        <f t="shared" si="3"/>
        <v>811091.19433648419</v>
      </c>
      <c r="K29" s="18">
        <f>'Fixed Payment Amortization'!K278</f>
        <v>291497.06909875257</v>
      </c>
      <c r="L29" s="4">
        <f>'Fixed Payment Amortization'!L278</f>
        <v>77322.044480516895</v>
      </c>
      <c r="M29" s="4">
        <f t="shared" si="4"/>
        <v>43251.017944965293</v>
      </c>
      <c r="N29" s="4">
        <f t="shared" si="16"/>
        <v>668276.46656909725</v>
      </c>
      <c r="O29" s="4">
        <f t="shared" si="5"/>
        <v>1037095.5801483667</v>
      </c>
      <c r="P29" s="4">
        <f t="shared" si="6"/>
        <v>71097.563745148465</v>
      </c>
      <c r="Q29" s="4">
        <f t="shared" si="17"/>
        <v>1098536.6573738586</v>
      </c>
      <c r="R29" s="4">
        <f t="shared" si="7"/>
        <v>-61441.07722549187</v>
      </c>
      <c r="S29" s="24">
        <f t="shared" si="8"/>
        <v>51130.274835431199</v>
      </c>
      <c r="T29" s="86">
        <f t="shared" si="9"/>
        <v>-12571.352060923069</v>
      </c>
      <c r="V29" s="18">
        <f t="shared" si="0"/>
        <v>823662.54639740731</v>
      </c>
      <c r="W29" s="23" t="str">
        <f t="shared" si="10"/>
        <v>inf</v>
      </c>
      <c r="X29" s="40" t="str">
        <f t="shared" si="11"/>
        <v>inf</v>
      </c>
      <c r="Z29" s="18">
        <f t="shared" si="12"/>
        <v>1785.7326806464698</v>
      </c>
      <c r="AA29" s="4">
        <f t="shared" si="18"/>
        <v>21447.765063119779</v>
      </c>
      <c r="AB29" s="4">
        <f t="shared" si="19"/>
        <v>-3214.2673193535302</v>
      </c>
      <c r="AC29" s="19">
        <f t="shared" si="20"/>
        <v>-771.42415664484724</v>
      </c>
      <c r="AD29" s="42">
        <v>23</v>
      </c>
      <c r="AM29" s="24"/>
    </row>
    <row r="30" spans="1:81" x14ac:dyDescent="0.25">
      <c r="A30">
        <f t="shared" ca="1" si="13"/>
        <v>2050</v>
      </c>
      <c r="B30" s="42">
        <v>24</v>
      </c>
      <c r="C30" s="69">
        <f t="shared" si="14"/>
        <v>1281652.082445876</v>
      </c>
      <c r="D30" s="70">
        <f t="shared" si="15"/>
        <v>1.5633041648917518</v>
      </c>
      <c r="E30" s="61"/>
      <c r="F30" s="62">
        <f t="shared" si="1"/>
        <v>1179119.915850206</v>
      </c>
      <c r="G30" s="63">
        <f t="shared" si="2"/>
        <v>679119.91585020605</v>
      </c>
      <c r="H30" s="4">
        <f>'Fixed Payment Amortization'!I290</f>
        <v>321898.16288794635</v>
      </c>
      <c r="I30" s="22">
        <f t="shared" si="3"/>
        <v>857221.75296225969</v>
      </c>
      <c r="K30" s="18">
        <f>'Fixed Payment Amortization'!K290</f>
        <v>293278.52031151636</v>
      </c>
      <c r="L30" s="4">
        <f>'Fixed Payment Amortization'!L290</f>
        <v>78101.837112053559</v>
      </c>
      <c r="M30" s="4">
        <f t="shared" si="4"/>
        <v>44981.058662763913</v>
      </c>
      <c r="N30" s="4">
        <f t="shared" si="16"/>
        <v>713257.52523186116</v>
      </c>
      <c r="O30" s="4">
        <f t="shared" si="5"/>
        <v>1084637.8826554311</v>
      </c>
      <c r="P30" s="4">
        <f t="shared" si="6"/>
        <v>73941.4662949544</v>
      </c>
      <c r="Q30" s="4">
        <f t="shared" si="17"/>
        <v>1172478.1236688129</v>
      </c>
      <c r="R30" s="4">
        <f t="shared" si="7"/>
        <v>-87840.241013381863</v>
      </c>
      <c r="S30" s="24">
        <f t="shared" si="8"/>
        <v>51130.274835431199</v>
      </c>
      <c r="T30" s="86">
        <f t="shared" si="9"/>
        <v>-38970.515848813062</v>
      </c>
      <c r="V30" s="18">
        <f t="shared" si="0"/>
        <v>896192.2688110728</v>
      </c>
      <c r="W30" s="23" t="str">
        <f t="shared" si="10"/>
        <v>inf</v>
      </c>
      <c r="X30" s="40" t="str">
        <f t="shared" si="11"/>
        <v>inf</v>
      </c>
      <c r="Z30" s="18">
        <f t="shared" si="12"/>
        <v>1781.4512127637863</v>
      </c>
      <c r="AA30" s="4">
        <f t="shared" si="18"/>
        <v>22305.675665644572</v>
      </c>
      <c r="AB30" s="4">
        <f t="shared" si="19"/>
        <v>-3218.5487872362137</v>
      </c>
      <c r="AC30" s="19">
        <f t="shared" si="20"/>
        <v>-772.45170893669126</v>
      </c>
      <c r="AD30" s="42">
        <v>24</v>
      </c>
      <c r="AM30" s="24"/>
    </row>
    <row r="31" spans="1:81" s="44" customFormat="1" x14ac:dyDescent="0.25">
      <c r="A31" s="44">
        <f t="shared" ca="1" si="13"/>
        <v>2051</v>
      </c>
      <c r="B31" s="43">
        <v>25</v>
      </c>
      <c r="C31" s="71">
        <f t="shared" si="14"/>
        <v>1332918.1657437112</v>
      </c>
      <c r="D31" s="72">
        <f t="shared" si="15"/>
        <v>1.6658363314874225</v>
      </c>
      <c r="F31" s="45">
        <f t="shared" si="1"/>
        <v>1226284.7124842142</v>
      </c>
      <c r="G31" s="64">
        <f t="shared" si="2"/>
        <v>726284.71248421422</v>
      </c>
      <c r="H31" s="46">
        <f>'Fixed Payment Amortization'!I302</f>
        <v>321114.06515125639</v>
      </c>
      <c r="I31" s="47">
        <f t="shared" si="3"/>
        <v>905170.64733295783</v>
      </c>
      <c r="K31" s="45">
        <f>'Fixed Payment Amortization'!K302</f>
        <v>295055.66641912691</v>
      </c>
      <c r="L31" s="46">
        <f>'Fixed Payment Amortization'!L302</f>
        <v>78885.934848743505</v>
      </c>
      <c r="M31" s="46">
        <f t="shared" si="4"/>
        <v>46780.301009274466</v>
      </c>
      <c r="N31" s="46">
        <f t="shared" si="16"/>
        <v>760037.8262411356</v>
      </c>
      <c r="O31" s="46">
        <f t="shared" si="5"/>
        <v>1133979.4275090061</v>
      </c>
      <c r="P31" s="46">
        <f t="shared" si="6"/>
        <v>76899.124946752578</v>
      </c>
      <c r="Q31" s="46">
        <f t="shared" si="17"/>
        <v>1249377.2486155655</v>
      </c>
      <c r="R31" s="46">
        <f t="shared" si="7"/>
        <v>-115397.82110655936</v>
      </c>
      <c r="S31" s="48">
        <f t="shared" si="8"/>
        <v>51130.274835431199</v>
      </c>
      <c r="T31" s="47">
        <f t="shared" si="9"/>
        <v>-66528.095941990556</v>
      </c>
      <c r="V31" s="45">
        <f t="shared" si="0"/>
        <v>971698.74327494833</v>
      </c>
      <c r="W31" s="49" t="str">
        <f t="shared" si="10"/>
        <v>inf</v>
      </c>
      <c r="X31" s="50" t="str">
        <f t="shared" si="11"/>
        <v>inf</v>
      </c>
      <c r="Z31" s="45">
        <f t="shared" si="12"/>
        <v>1777.1461076105479</v>
      </c>
      <c r="AA31" s="46">
        <f t="shared" si="18"/>
        <v>23197.902692270356</v>
      </c>
      <c r="AB31" s="46">
        <f t="shared" si="19"/>
        <v>-3222.8538923894521</v>
      </c>
      <c r="AC31" s="65">
        <f t="shared" si="20"/>
        <v>-773.48493417346845</v>
      </c>
      <c r="AD31" s="43">
        <v>25</v>
      </c>
      <c r="AM31" s="48"/>
    </row>
    <row r="32" spans="1:81" x14ac:dyDescent="0.25">
      <c r="A32">
        <f t="shared" ca="1" si="13"/>
        <v>2052</v>
      </c>
      <c r="B32" s="42">
        <v>26</v>
      </c>
      <c r="C32" s="69">
        <f t="shared" si="14"/>
        <v>1386234.8923734596</v>
      </c>
      <c r="D32" s="70">
        <f t="shared" si="15"/>
        <v>1.7724697847469191</v>
      </c>
      <c r="E32" s="61"/>
      <c r="F32" s="62">
        <f t="shared" si="1"/>
        <v>1275336.1009835829</v>
      </c>
      <c r="G32" s="63">
        <f t="shared" si="2"/>
        <v>775336.1009835829</v>
      </c>
      <c r="H32" s="4">
        <f>'Fixed Payment Amortization'!I314</f>
        <v>320325.63854164514</v>
      </c>
      <c r="I32" s="22">
        <f t="shared" si="3"/>
        <v>955010.46244193777</v>
      </c>
      <c r="K32" s="18">
        <f>'Fixed Payment Amortization'!K314</f>
        <v>296828.48365381616</v>
      </c>
      <c r="L32" s="4">
        <f>'Fixed Payment Amortization'!L314</f>
        <v>79674.361458354761</v>
      </c>
      <c r="M32" s="4">
        <f t="shared" si="4"/>
        <v>48651.513049645459</v>
      </c>
      <c r="N32" s="4">
        <f t="shared" si="16"/>
        <v>808689.33929078106</v>
      </c>
      <c r="O32" s="4">
        <f t="shared" si="5"/>
        <v>1185192.184402952</v>
      </c>
      <c r="P32" s="4">
        <f t="shared" si="6"/>
        <v>79975.089944622698</v>
      </c>
      <c r="Q32" s="4">
        <f t="shared" si="17"/>
        <v>1329352.3385601882</v>
      </c>
      <c r="R32" s="4">
        <f t="shared" si="7"/>
        <v>-144160.15415723622</v>
      </c>
      <c r="S32" s="24">
        <f t="shared" si="8"/>
        <v>51130.274835431199</v>
      </c>
      <c r="T32" s="86">
        <f t="shared" si="9"/>
        <v>-95290.42899266741</v>
      </c>
      <c r="V32" s="18">
        <f t="shared" si="0"/>
        <v>1050300.8914346052</v>
      </c>
      <c r="W32" s="23" t="str">
        <f t="shared" si="10"/>
        <v>inf</v>
      </c>
      <c r="X32" s="40" t="str">
        <f t="shared" si="11"/>
        <v>inf</v>
      </c>
      <c r="Z32" s="18">
        <f t="shared" si="12"/>
        <v>1772.8172346892534</v>
      </c>
      <c r="AA32" s="4">
        <f t="shared" si="18"/>
        <v>24125.818799961173</v>
      </c>
      <c r="AB32" s="4">
        <f t="shared" si="19"/>
        <v>-3227.1827653107466</v>
      </c>
      <c r="AC32" s="19">
        <f t="shared" si="20"/>
        <v>-774.52386367457916</v>
      </c>
      <c r="AD32" s="42">
        <v>26</v>
      </c>
    </row>
    <row r="33" spans="1:30" x14ac:dyDescent="0.25">
      <c r="A33">
        <f t="shared" ca="1" si="13"/>
        <v>2053</v>
      </c>
      <c r="B33" s="42">
        <v>27</v>
      </c>
      <c r="C33" s="69">
        <f t="shared" si="14"/>
        <v>1441684.2880683981</v>
      </c>
      <c r="D33" s="70">
        <f t="shared" si="15"/>
        <v>1.8833685761367964</v>
      </c>
      <c r="E33" s="61"/>
      <c r="F33" s="62">
        <f t="shared" si="1"/>
        <v>1326349.5450229263</v>
      </c>
      <c r="G33" s="63">
        <f t="shared" si="2"/>
        <v>826349.54502292629</v>
      </c>
      <c r="H33" s="4">
        <f>'Fixed Payment Amortization'!I326</f>
        <v>319532.85916012665</v>
      </c>
      <c r="I33" s="22">
        <f t="shared" si="3"/>
        <v>1006816.6858627996</v>
      </c>
      <c r="K33" s="18">
        <f>'Fixed Payment Amortization'!K326</f>
        <v>298596.94811659819</v>
      </c>
      <c r="L33" s="4">
        <f>'Fixed Payment Amortization'!L326</f>
        <v>80467.140839873246</v>
      </c>
      <c r="M33" s="4">
        <f t="shared" si="4"/>
        <v>50597.57357163127</v>
      </c>
      <c r="N33" s="4">
        <f t="shared" si="16"/>
        <v>859286.91286241228</v>
      </c>
      <c r="O33" s="4">
        <f t="shared" si="5"/>
        <v>1238351.0018188837</v>
      </c>
      <c r="P33" s="4">
        <f t="shared" si="6"/>
        <v>83174.093542407601</v>
      </c>
      <c r="Q33" s="4">
        <f t="shared" si="17"/>
        <v>1412526.4321025957</v>
      </c>
      <c r="R33" s="4">
        <f t="shared" si="7"/>
        <v>-174175.43028371199</v>
      </c>
      <c r="S33" s="24">
        <f t="shared" si="8"/>
        <v>51130.274835431199</v>
      </c>
      <c r="T33" s="86">
        <f t="shared" si="9"/>
        <v>-125305.70511914318</v>
      </c>
      <c r="V33" s="18">
        <f t="shared" si="0"/>
        <v>1132122.3909819429</v>
      </c>
      <c r="W33" s="23" t="str">
        <f t="shared" si="10"/>
        <v>inf</v>
      </c>
      <c r="X33" s="40" t="str">
        <f t="shared" si="11"/>
        <v>inf</v>
      </c>
      <c r="Z33" s="18">
        <f t="shared" si="12"/>
        <v>1768.4644627820235</v>
      </c>
      <c r="AA33" s="4">
        <f t="shared" si="18"/>
        <v>25090.851551959622</v>
      </c>
      <c r="AB33" s="4">
        <f t="shared" si="19"/>
        <v>-3231.5355372179765</v>
      </c>
      <c r="AC33" s="19">
        <f t="shared" si="20"/>
        <v>-775.56852893231439</v>
      </c>
      <c r="AD33" s="42">
        <v>27</v>
      </c>
    </row>
    <row r="34" spans="1:30" x14ac:dyDescent="0.25">
      <c r="A34">
        <f t="shared" ca="1" si="13"/>
        <v>2054</v>
      </c>
      <c r="B34" s="42">
        <v>28</v>
      </c>
      <c r="C34" s="69">
        <f t="shared" si="14"/>
        <v>1499351.6595911342</v>
      </c>
      <c r="D34" s="70">
        <f t="shared" si="15"/>
        <v>1.9987033191822685</v>
      </c>
      <c r="E34" s="61"/>
      <c r="F34" s="62">
        <f t="shared" si="1"/>
        <v>1379403.5268238436</v>
      </c>
      <c r="G34" s="63">
        <f t="shared" si="2"/>
        <v>879403.5268238436</v>
      </c>
      <c r="H34" s="4">
        <f>'Fixed Payment Amortization'!I338</f>
        <v>318735.70297577273</v>
      </c>
      <c r="I34" s="22">
        <f t="shared" si="3"/>
        <v>1060667.8238480708</v>
      </c>
      <c r="K34" s="18">
        <f>'Fixed Payment Amortization'!K338</f>
        <v>300361.03577654471</v>
      </c>
      <c r="L34" s="4">
        <f>'Fixed Payment Amortization'!L338</f>
        <v>81264.297024227199</v>
      </c>
      <c r="M34" s="4">
        <f t="shared" si="4"/>
        <v>52621.47651449652</v>
      </c>
      <c r="N34" s="4">
        <f t="shared" si="16"/>
        <v>911908.38937690877</v>
      </c>
      <c r="O34" s="4">
        <f t="shared" si="5"/>
        <v>1293533.7221776806</v>
      </c>
      <c r="P34" s="4">
        <f t="shared" si="6"/>
        <v>86501.05728410391</v>
      </c>
      <c r="Q34" s="4">
        <f t="shared" si="17"/>
        <v>1499027.4893866996</v>
      </c>
      <c r="R34" s="4">
        <f t="shared" si="7"/>
        <v>-205493.76720901905</v>
      </c>
      <c r="S34" s="24">
        <f t="shared" si="8"/>
        <v>51130.274835431199</v>
      </c>
      <c r="T34" s="86">
        <f t="shared" si="9"/>
        <v>-156624.04204445024</v>
      </c>
      <c r="V34" s="18">
        <f t="shared" si="0"/>
        <v>1217291.8658925211</v>
      </c>
      <c r="W34" s="23" t="str">
        <f t="shared" si="10"/>
        <v>inf</v>
      </c>
      <c r="X34" s="40" t="str">
        <f t="shared" si="11"/>
        <v>inf</v>
      </c>
      <c r="Z34" s="18">
        <f t="shared" si="12"/>
        <v>1764.0876599465264</v>
      </c>
      <c r="AA34" s="4">
        <f t="shared" si="18"/>
        <v>26094.485614038007</v>
      </c>
      <c r="AB34" s="4">
        <f t="shared" si="19"/>
        <v>-3235.9123400534736</v>
      </c>
      <c r="AC34" s="19">
        <f t="shared" si="20"/>
        <v>-776.61896161283369</v>
      </c>
      <c r="AD34" s="42">
        <v>28</v>
      </c>
    </row>
    <row r="35" spans="1:30" x14ac:dyDescent="0.25">
      <c r="A35">
        <f t="shared" ca="1" si="13"/>
        <v>2055</v>
      </c>
      <c r="B35" s="42">
        <v>29</v>
      </c>
      <c r="C35" s="69">
        <f t="shared" si="14"/>
        <v>1559325.7259747796</v>
      </c>
      <c r="D35" s="70">
        <f t="shared" si="15"/>
        <v>2.118651451949559</v>
      </c>
      <c r="E35" s="61"/>
      <c r="F35" s="62">
        <f t="shared" si="1"/>
        <v>1434579.6678967972</v>
      </c>
      <c r="G35" s="63">
        <f t="shared" si="2"/>
        <v>934579.66789679718</v>
      </c>
      <c r="H35" s="4">
        <f>'Fixed Payment Amortization'!I350</f>
        <v>317934.1458249843</v>
      </c>
      <c r="I35" s="22">
        <f t="shared" si="3"/>
        <v>1116645.5220718128</v>
      </c>
      <c r="K35" s="18">
        <f>'Fixed Payment Amortization'!K350</f>
        <v>302120.72247005679</v>
      </c>
      <c r="L35" s="4">
        <f>'Fixed Payment Amortization'!L350</f>
        <v>82065.8541750156</v>
      </c>
      <c r="M35" s="4">
        <f t="shared" si="4"/>
        <v>54726.335575076402</v>
      </c>
      <c r="N35" s="4">
        <f t="shared" si="16"/>
        <v>966634.72495198518</v>
      </c>
      <c r="O35" s="4">
        <f t="shared" si="5"/>
        <v>1350821.3015970576</v>
      </c>
      <c r="P35" s="4">
        <f t="shared" si="6"/>
        <v>89961.099575468077</v>
      </c>
      <c r="Q35" s="4">
        <f t="shared" si="17"/>
        <v>1588988.5889621677</v>
      </c>
      <c r="R35" s="4">
        <f t="shared" si="7"/>
        <v>-238167.28736511013</v>
      </c>
      <c r="S35" s="24">
        <f t="shared" si="8"/>
        <v>51130.274835431199</v>
      </c>
      <c r="T35" s="86">
        <f t="shared" si="9"/>
        <v>-189297.56220054132</v>
      </c>
      <c r="V35" s="18">
        <f t="shared" si="0"/>
        <v>1305943.0842723541</v>
      </c>
      <c r="W35" s="23" t="str">
        <f t="shared" si="10"/>
        <v>inf</v>
      </c>
      <c r="X35" s="40" t="str">
        <f t="shared" si="11"/>
        <v>inf</v>
      </c>
      <c r="Z35" s="18">
        <f t="shared" si="12"/>
        <v>1759.6866935120779</v>
      </c>
      <c r="AA35" s="4">
        <f t="shared" si="18"/>
        <v>27138.265038599529</v>
      </c>
      <c r="AB35" s="4">
        <f t="shared" si="19"/>
        <v>-3240.3133064879221</v>
      </c>
      <c r="AC35" s="19">
        <f t="shared" si="20"/>
        <v>-777.67519355710124</v>
      </c>
      <c r="AD35" s="42">
        <v>29</v>
      </c>
    </row>
    <row r="36" spans="1:30" s="44" customFormat="1" x14ac:dyDescent="0.25">
      <c r="A36" s="44">
        <f t="shared" ca="1" si="13"/>
        <v>2056</v>
      </c>
      <c r="B36" s="43">
        <v>30</v>
      </c>
      <c r="C36" s="71">
        <f t="shared" si="14"/>
        <v>1621698.7550137709</v>
      </c>
      <c r="D36" s="72">
        <f t="shared" si="15"/>
        <v>2.2433975100275418</v>
      </c>
      <c r="F36" s="45">
        <f t="shared" si="1"/>
        <v>1491962.8546126692</v>
      </c>
      <c r="G36" s="64">
        <f t="shared" si="2"/>
        <v>991962.85461266921</v>
      </c>
      <c r="H36" s="46">
        <f>'Fixed Payment Amortization'!I362</f>
        <v>317128.16341075924</v>
      </c>
      <c r="I36" s="47">
        <f t="shared" si="3"/>
        <v>1174834.6912019099</v>
      </c>
      <c r="K36" s="45">
        <f>'Fixed Payment Amortization'!K362</f>
        <v>303875.98390013224</v>
      </c>
      <c r="L36" s="46">
        <f>'Fixed Payment Amortization'!L362</f>
        <v>82871.836589240644</v>
      </c>
      <c r="M36" s="46">
        <f t="shared" si="4"/>
        <v>56915.388998079448</v>
      </c>
      <c r="N36" s="46">
        <f t="shared" si="16"/>
        <v>1023550.1139500646</v>
      </c>
      <c r="O36" s="46">
        <f t="shared" si="5"/>
        <v>1410297.9344394375</v>
      </c>
      <c r="P36" s="46">
        <f t="shared" si="6"/>
        <v>93559.54355848681</v>
      </c>
      <c r="Q36" s="46">
        <f t="shared" si="17"/>
        <v>1682548.1325206545</v>
      </c>
      <c r="R36" s="46">
        <f t="shared" si="7"/>
        <v>-272250.19808121701</v>
      </c>
      <c r="S36" s="48">
        <f t="shared" si="8"/>
        <v>51130.274835431199</v>
      </c>
      <c r="T36" s="47">
        <f t="shared" si="9"/>
        <v>-223380.4729166482</v>
      </c>
      <c r="V36" s="45">
        <f t="shared" si="0"/>
        <v>1398215.1641185582</v>
      </c>
      <c r="W36" s="49" t="str">
        <f t="shared" si="10"/>
        <v>inf</v>
      </c>
      <c r="X36" s="50" t="str">
        <f t="shared" si="11"/>
        <v>inf</v>
      </c>
      <c r="Z36" s="45">
        <f t="shared" si="12"/>
        <v>1755.2614300754503</v>
      </c>
      <c r="AA36" s="46">
        <f t="shared" si="18"/>
        <v>28223.795640143511</v>
      </c>
      <c r="AB36" s="46">
        <f t="shared" si="19"/>
        <v>-3244.7385699245497</v>
      </c>
      <c r="AC36" s="65">
        <f t="shared" si="20"/>
        <v>-778.73725678189192</v>
      </c>
      <c r="AD36" s="43">
        <v>30</v>
      </c>
    </row>
    <row r="37" spans="1:30" x14ac:dyDescent="0.25">
      <c r="A37">
        <f t="shared" ca="1" si="13"/>
        <v>2057</v>
      </c>
      <c r="B37" s="42">
        <v>31</v>
      </c>
      <c r="C37" s="69">
        <f t="shared" si="14"/>
        <v>1686566.7052143218</v>
      </c>
      <c r="D37" s="70">
        <f t="shared" si="15"/>
        <v>2.3731334104286437</v>
      </c>
      <c r="E37" s="61"/>
      <c r="F37" s="62">
        <f t="shared" si="1"/>
        <v>1551641.3687971761</v>
      </c>
      <c r="G37" s="63">
        <f t="shared" si="2"/>
        <v>1051641.3687971761</v>
      </c>
      <c r="H37" s="4">
        <f>'Fixed Payment Amortization'!I362</f>
        <v>316317.73130195565</v>
      </c>
      <c r="I37" s="22">
        <f t="shared" si="3"/>
        <v>1235323.6374952204</v>
      </c>
      <c r="K37" s="18">
        <f>'Fixed Payment Amortization'!K362</f>
        <v>305626.79563562915</v>
      </c>
      <c r="L37" s="4">
        <f>'Fixed Payment Amortization'!L362</f>
        <v>83682.268698044223</v>
      </c>
      <c r="M37" s="4">
        <f t="shared" si="4"/>
        <v>59192.004558002634</v>
      </c>
      <c r="N37" s="4">
        <f t="shared" si="16"/>
        <v>1082742.1185080672</v>
      </c>
      <c r="O37" s="4">
        <f t="shared" si="5"/>
        <v>1472051.1828417405</v>
      </c>
      <c r="P37" s="4">
        <f t="shared" si="6"/>
        <v>97301.925300826275</v>
      </c>
      <c r="Q37" s="4">
        <f t="shared" si="17"/>
        <v>1779850.0578214808</v>
      </c>
      <c r="R37" s="4">
        <f t="shared" si="7"/>
        <v>-307798.87497974024</v>
      </c>
      <c r="S37" s="24">
        <f t="shared" si="8"/>
        <v>51130.274835431199</v>
      </c>
      <c r="T37" s="86">
        <f t="shared" si="9"/>
        <v>-258929.14981517143</v>
      </c>
      <c r="V37" s="18">
        <f t="shared" si="0"/>
        <v>1494252.7873103919</v>
      </c>
      <c r="W37" s="23" t="str">
        <f t="shared" si="10"/>
        <v>inf</v>
      </c>
      <c r="X37" s="40" t="str">
        <f t="shared" si="11"/>
        <v>inf</v>
      </c>
      <c r="Z37" s="18">
        <f t="shared" si="12"/>
        <v>1750.8117354969145</v>
      </c>
      <c r="AA37" s="4">
        <f t="shared" si="18"/>
        <v>29352.747465749257</v>
      </c>
      <c r="AB37" s="4">
        <f t="shared" si="19"/>
        <v>-3249.1882645030855</v>
      </c>
      <c r="AC37" s="19">
        <f t="shared" si="20"/>
        <v>-779.80518348074054</v>
      </c>
      <c r="AD37" s="42">
        <v>31</v>
      </c>
    </row>
    <row r="38" spans="1:30" x14ac:dyDescent="0.25">
      <c r="A38">
        <f t="shared" ca="1" si="13"/>
        <v>2058</v>
      </c>
      <c r="B38" s="42">
        <v>32</v>
      </c>
      <c r="C38" s="69">
        <f t="shared" si="14"/>
        <v>1754029.3734228949</v>
      </c>
      <c r="D38" s="70">
        <f t="shared" si="15"/>
        <v>2.5080587468457898</v>
      </c>
      <c r="E38" s="61"/>
      <c r="F38" s="62">
        <f t="shared" si="1"/>
        <v>1613707.0235490634</v>
      </c>
      <c r="G38" s="63">
        <f t="shared" si="2"/>
        <v>1113707.0235490634</v>
      </c>
      <c r="H38" s="4">
        <f>'Fixed Payment Amortization'!I362</f>
        <v>315502.82493255136</v>
      </c>
      <c r="I38" s="22">
        <f t="shared" si="3"/>
        <v>1298204.1986165121</v>
      </c>
      <c r="K38" s="18">
        <f>'Fixed Payment Amortization'!K362</f>
        <v>307373.13311052538</v>
      </c>
      <c r="L38" s="4">
        <f>'Fixed Payment Amortization'!L362</f>
        <v>84497.175067448494</v>
      </c>
      <c r="M38" s="4">
        <f t="shared" si="4"/>
        <v>61559.684740322744</v>
      </c>
      <c r="N38" s="4">
        <f t="shared" si="16"/>
        <v>1144301.8032483899</v>
      </c>
      <c r="O38" s="4">
        <f t="shared" si="5"/>
        <v>1536172.1114263637</v>
      </c>
      <c r="P38" s="4">
        <f t="shared" si="6"/>
        <v>101194.00231285932</v>
      </c>
      <c r="Q38" s="4">
        <f t="shared" si="17"/>
        <v>1881044.0601343401</v>
      </c>
      <c r="R38" s="4">
        <f t="shared" si="7"/>
        <v>-344871.94870797638</v>
      </c>
      <c r="S38" s="24">
        <f t="shared" si="8"/>
        <v>51130.274835431199</v>
      </c>
      <c r="T38" s="86">
        <f t="shared" si="9"/>
        <v>-296002.22354340757</v>
      </c>
      <c r="V38" s="18">
        <f t="shared" si="0"/>
        <v>1594206.4221599197</v>
      </c>
      <c r="W38" s="23" t="str">
        <f t="shared" si="10"/>
        <v>inf</v>
      </c>
      <c r="X38" s="40" t="str">
        <f t="shared" si="11"/>
        <v>inf</v>
      </c>
      <c r="Z38" s="18">
        <f t="shared" si="12"/>
        <v>1746.3374748962233</v>
      </c>
      <c r="AA38" s="4">
        <f t="shared" si="18"/>
        <v>30526.85736437923</v>
      </c>
      <c r="AB38" s="4">
        <f t="shared" si="19"/>
        <v>-3253.6625251037767</v>
      </c>
      <c r="AC38" s="19">
        <f t="shared" si="20"/>
        <v>-780.8790060249064</v>
      </c>
      <c r="AD38" s="42">
        <v>32</v>
      </c>
    </row>
    <row r="39" spans="1:30" x14ac:dyDescent="0.25">
      <c r="A39">
        <f t="shared" ca="1" si="13"/>
        <v>2059</v>
      </c>
      <c r="B39" s="42">
        <v>33</v>
      </c>
      <c r="C39" s="69">
        <f t="shared" si="14"/>
        <v>1824190.5483598106</v>
      </c>
      <c r="D39" s="70">
        <f t="shared" si="15"/>
        <v>2.6483810967196213</v>
      </c>
      <c r="E39" s="61"/>
      <c r="F39" s="62">
        <f t="shared" si="1"/>
        <v>1678255.3044910259</v>
      </c>
      <c r="G39" s="63">
        <f t="shared" si="2"/>
        <v>1178255.3044910259</v>
      </c>
      <c r="H39" s="4">
        <f>'Fixed Payment Amortization'!I362</f>
        <v>314683.41960089933</v>
      </c>
      <c r="I39" s="22">
        <f t="shared" si="3"/>
        <v>1363571.8848901265</v>
      </c>
      <c r="K39" s="18">
        <f>'Fixed Payment Amortization'!K362</f>
        <v>309114.97162317386</v>
      </c>
      <c r="L39" s="4">
        <f>'Fixed Payment Amortization'!L362</f>
        <v>85316.580399100509</v>
      </c>
      <c r="M39" s="4">
        <f t="shared" si="4"/>
        <v>64022.072129935659</v>
      </c>
      <c r="N39" s="4">
        <f t="shared" si="16"/>
        <v>1208323.8753783256</v>
      </c>
      <c r="O39" s="4">
        <f t="shared" si="5"/>
        <v>1602755.4274005999</v>
      </c>
      <c r="P39" s="4">
        <f t="shared" si="6"/>
        <v>105241.76240537371</v>
      </c>
      <c r="Q39" s="4">
        <f t="shared" si="17"/>
        <v>1986285.8225397137</v>
      </c>
      <c r="R39" s="4">
        <f t="shared" si="7"/>
        <v>-383530.39513911377</v>
      </c>
      <c r="S39" s="24">
        <f t="shared" si="8"/>
        <v>51130.274835431199</v>
      </c>
      <c r="T39" s="86">
        <f t="shared" si="9"/>
        <v>-334660.66997454496</v>
      </c>
      <c r="V39" s="18">
        <f t="shared" si="0"/>
        <v>1698232.5548646715</v>
      </c>
      <c r="W39" s="23" t="str">
        <f t="shared" si="10"/>
        <v>inf</v>
      </c>
      <c r="X39" s="40" t="str">
        <f t="shared" si="11"/>
        <v>inf</v>
      </c>
      <c r="Z39" s="18">
        <f t="shared" si="12"/>
        <v>1741.8385126484791</v>
      </c>
      <c r="AA39" s="4">
        <f t="shared" si="18"/>
        <v>31747.9316589544</v>
      </c>
      <c r="AB39" s="4">
        <f t="shared" si="19"/>
        <v>-3258.1614873515209</v>
      </c>
      <c r="AC39" s="19">
        <f t="shared" si="20"/>
        <v>-781.95875696436497</v>
      </c>
      <c r="AD39" s="42">
        <v>33</v>
      </c>
    </row>
    <row r="40" spans="1:30" x14ac:dyDescent="0.25">
      <c r="A40">
        <f t="shared" ca="1" si="13"/>
        <v>2060</v>
      </c>
      <c r="B40" s="42">
        <v>34</v>
      </c>
      <c r="C40" s="69">
        <f t="shared" si="14"/>
        <v>1897158.1702942031</v>
      </c>
      <c r="D40" s="70">
        <f t="shared" si="15"/>
        <v>2.7943163405884062</v>
      </c>
      <c r="E40" s="61"/>
      <c r="F40" s="62">
        <f t="shared" si="1"/>
        <v>1745385.5166706669</v>
      </c>
      <c r="G40" s="63">
        <f t="shared" si="2"/>
        <v>1245385.5166706669</v>
      </c>
      <c r="H40" s="4">
        <f>'Fixed Payment Amortization'!I362</f>
        <v>313859.49046897882</v>
      </c>
      <c r="I40" s="22">
        <f t="shared" si="3"/>
        <v>1431526.026201688</v>
      </c>
      <c r="K40" s="18">
        <f>'Fixed Payment Amortization'!K362</f>
        <v>310852.2863355538</v>
      </c>
      <c r="L40" s="4">
        <f>'Fixed Payment Amortization'!L362</f>
        <v>86140.509531021031</v>
      </c>
      <c r="M40" s="4">
        <f t="shared" si="4"/>
        <v>66582.955015133091</v>
      </c>
      <c r="N40" s="4">
        <f t="shared" si="16"/>
        <v>1274906.8303934587</v>
      </c>
      <c r="O40" s="4">
        <f t="shared" si="5"/>
        <v>1671899.6262600336</v>
      </c>
      <c r="P40" s="4">
        <f t="shared" si="6"/>
        <v>109451.43290158865</v>
      </c>
      <c r="Q40" s="4">
        <f t="shared" si="17"/>
        <v>2095737.2554413024</v>
      </c>
      <c r="R40" s="4">
        <f t="shared" si="7"/>
        <v>-423837.62918126886</v>
      </c>
      <c r="S40" s="24">
        <f t="shared" si="8"/>
        <v>51130.274835431199</v>
      </c>
      <c r="T40" s="86">
        <f t="shared" si="9"/>
        <v>-374967.90401670005</v>
      </c>
      <c r="V40" s="18">
        <f t="shared" si="0"/>
        <v>1806493.9302183881</v>
      </c>
      <c r="W40" s="23" t="str">
        <f t="shared" si="10"/>
        <v>inf</v>
      </c>
      <c r="X40" s="40" t="str">
        <f t="shared" si="11"/>
        <v>inf</v>
      </c>
      <c r="Z40" s="18">
        <f t="shared" si="12"/>
        <v>1737.3147123799426</v>
      </c>
      <c r="AA40" s="4">
        <f t="shared" si="18"/>
        <v>33017.848925312574</v>
      </c>
      <c r="AB40" s="4">
        <f t="shared" si="19"/>
        <v>-3262.6852876200574</v>
      </c>
      <c r="AC40" s="19">
        <f t="shared" si="20"/>
        <v>-783.04446902881375</v>
      </c>
      <c r="AD40" s="42">
        <v>34</v>
      </c>
    </row>
    <row r="41" spans="1:30" s="44" customFormat="1" x14ac:dyDescent="0.25">
      <c r="A41" s="44">
        <f t="shared" ca="1" si="13"/>
        <v>2061</v>
      </c>
      <c r="B41" s="43">
        <v>35</v>
      </c>
      <c r="C41" s="73">
        <f t="shared" si="14"/>
        <v>1973044.4971059712</v>
      </c>
      <c r="D41" s="74">
        <f t="shared" si="15"/>
        <v>2.9460889942119426</v>
      </c>
      <c r="F41" s="51">
        <f t="shared" si="1"/>
        <v>1815200.9373374935</v>
      </c>
      <c r="G41" s="75">
        <f t="shared" si="2"/>
        <v>1315200.9373374935</v>
      </c>
      <c r="H41" s="52">
        <f>'Fixed Payment Amortization'!I362</f>
        <v>313031.01256164251</v>
      </c>
      <c r="I41" s="53">
        <f t="shared" si="3"/>
        <v>1502169.924775851</v>
      </c>
      <c r="K41" s="51">
        <f>'Fixed Payment Amortization'!K362</f>
        <v>312585.05227251793</v>
      </c>
      <c r="L41" s="52">
        <f>'Fixed Payment Amortization'!L362</f>
        <v>86968.987438357362</v>
      </c>
      <c r="M41" s="52">
        <f t="shared" si="4"/>
        <v>69246.273215738416</v>
      </c>
      <c r="N41" s="52">
        <f t="shared" si="16"/>
        <v>1344153.1036091971</v>
      </c>
      <c r="O41" s="52">
        <f t="shared" si="5"/>
        <v>1743707.1433200724</v>
      </c>
      <c r="P41" s="52">
        <f t="shared" si="6"/>
        <v>113829.49021765222</v>
      </c>
      <c r="Q41" s="52">
        <f t="shared" si="17"/>
        <v>2209566.7456589546</v>
      </c>
      <c r="R41" s="52">
        <f t="shared" si="7"/>
        <v>-465859.60233888216</v>
      </c>
      <c r="S41" s="54">
        <f t="shared" si="8"/>
        <v>51130.274835431199</v>
      </c>
      <c r="T41" s="53">
        <f t="shared" si="9"/>
        <v>-416989.87717431335</v>
      </c>
      <c r="V41" s="51">
        <f t="shared" si="0"/>
        <v>1919159.8019501644</v>
      </c>
      <c r="W41" s="55" t="str">
        <f t="shared" si="10"/>
        <v>inf</v>
      </c>
      <c r="X41" s="56" t="str">
        <f t="shared" si="11"/>
        <v>inf</v>
      </c>
      <c r="Z41" s="51">
        <f t="shared" si="12"/>
        <v>1732.7659369641333</v>
      </c>
      <c r="AA41" s="52">
        <f t="shared" si="18"/>
        <v>34338.562882325081</v>
      </c>
      <c r="AB41" s="52">
        <f t="shared" si="19"/>
        <v>-3267.2340630358667</v>
      </c>
      <c r="AC41" s="76">
        <f t="shared" si="20"/>
        <v>-784.13617512860799</v>
      </c>
      <c r="AD41" s="43">
        <v>35</v>
      </c>
    </row>
    <row r="42" spans="1:30" x14ac:dyDescent="0.25">
      <c r="N42"/>
      <c r="O42" s="1"/>
    </row>
    <row r="43" spans="1:30" x14ac:dyDescent="0.25">
      <c r="N43"/>
      <c r="O43" s="1"/>
    </row>
    <row r="46" spans="1:30" x14ac:dyDescent="0.25">
      <c r="AC46" s="27"/>
    </row>
    <row r="47" spans="1:30" x14ac:dyDescent="0.25">
      <c r="AC47" s="27"/>
    </row>
    <row r="48" spans="1:30" x14ac:dyDescent="0.25">
      <c r="AC48" s="27"/>
    </row>
    <row r="49" spans="29:29" x14ac:dyDescent="0.25">
      <c r="AC49" s="27"/>
    </row>
    <row r="50" spans="29:29" x14ac:dyDescent="0.25">
      <c r="AC50" s="27"/>
    </row>
    <row r="51" spans="29:29" x14ac:dyDescent="0.25">
      <c r="AC51" s="27"/>
    </row>
    <row r="52" spans="29:29" x14ac:dyDescent="0.25">
      <c r="AC52" s="27"/>
    </row>
    <row r="53" spans="29:29" x14ac:dyDescent="0.25">
      <c r="AC53" s="27"/>
    </row>
    <row r="54" spans="29:29" x14ac:dyDescent="0.25">
      <c r="AC54" s="27"/>
    </row>
    <row r="55" spans="29:29" x14ac:dyDescent="0.25">
      <c r="AC55" s="27"/>
    </row>
    <row r="56" spans="29:29" x14ac:dyDescent="0.25">
      <c r="AC56" s="27"/>
    </row>
    <row r="57" spans="29:29" x14ac:dyDescent="0.25">
      <c r="AC57" s="27"/>
    </row>
    <row r="58" spans="29:29" x14ac:dyDescent="0.25">
      <c r="AC58" s="27"/>
    </row>
    <row r="59" spans="29:29" x14ac:dyDescent="0.25">
      <c r="AC59" s="27"/>
    </row>
    <row r="60" spans="29:29" x14ac:dyDescent="0.25">
      <c r="AC60" s="27"/>
    </row>
    <row r="61" spans="29:29" x14ac:dyDescent="0.25">
      <c r="AC61" s="27"/>
    </row>
    <row r="62" spans="29:29" x14ac:dyDescent="0.25">
      <c r="AC62" s="27"/>
    </row>
    <row r="63" spans="29:29" x14ac:dyDescent="0.25">
      <c r="AC63" s="27"/>
    </row>
    <row r="64" spans="29:29" x14ac:dyDescent="0.25">
      <c r="AC64" s="27"/>
    </row>
    <row r="65" spans="29:29" x14ac:dyDescent="0.25">
      <c r="AC65" s="27"/>
    </row>
    <row r="66" spans="29:29" x14ac:dyDescent="0.25">
      <c r="AC66" s="27"/>
    </row>
    <row r="67" spans="29:29" x14ac:dyDescent="0.25">
      <c r="AC67" s="27"/>
    </row>
    <row r="68" spans="29:29" x14ac:dyDescent="0.25">
      <c r="AC68" s="27"/>
    </row>
    <row r="69" spans="29:29" x14ac:dyDescent="0.25">
      <c r="AC69" s="27"/>
    </row>
    <row r="70" spans="29:29" x14ac:dyDescent="0.25">
      <c r="AC70" s="27"/>
    </row>
    <row r="71" spans="29:29" x14ac:dyDescent="0.25">
      <c r="AC71" s="27"/>
    </row>
    <row r="72" spans="29:29" x14ac:dyDescent="0.25">
      <c r="AC72" s="27"/>
    </row>
    <row r="73" spans="29:29" x14ac:dyDescent="0.25">
      <c r="AC73" s="27"/>
    </row>
    <row r="74" spans="29:29" x14ac:dyDescent="0.25">
      <c r="AC74" s="27"/>
    </row>
    <row r="75" spans="29:29" x14ac:dyDescent="0.25">
      <c r="AC75" s="27"/>
    </row>
    <row r="76" spans="29:29" x14ac:dyDescent="0.25">
      <c r="AC76" s="27"/>
    </row>
    <row r="77" spans="29:29" x14ac:dyDescent="0.25">
      <c r="AC77" s="27"/>
    </row>
    <row r="78" spans="29:29" x14ac:dyDescent="0.25">
      <c r="AC78" s="27"/>
    </row>
    <row r="79" spans="29:29" x14ac:dyDescent="0.25">
      <c r="AC79" s="27"/>
    </row>
    <row r="80" spans="29:29" x14ac:dyDescent="0.25">
      <c r="AC80" s="27"/>
    </row>
    <row r="81" spans="2:14" x14ac:dyDescent="0.25">
      <c r="B81" s="1"/>
      <c r="G81"/>
      <c r="I81" s="1"/>
      <c r="N81"/>
    </row>
    <row r="82" spans="2:14" x14ac:dyDescent="0.25">
      <c r="B82" s="1"/>
      <c r="G82"/>
      <c r="I82" s="1"/>
      <c r="N82"/>
    </row>
    <row r="83" spans="2:14" x14ac:dyDescent="0.25">
      <c r="B83" s="1"/>
      <c r="G83"/>
      <c r="I83" s="1"/>
      <c r="N83"/>
    </row>
  </sheetData>
  <conditionalFormatting sqref="T6:T41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Fixed Payment Amortization</vt:lpstr>
      <vt:lpstr>Cash 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V</dc:creator>
  <cp:lastModifiedBy>Jack V</cp:lastModifiedBy>
  <dcterms:created xsi:type="dcterms:W3CDTF">2025-02-25T15:33:57Z</dcterms:created>
  <dcterms:modified xsi:type="dcterms:W3CDTF">2026-04-29T19:52:20Z</dcterms:modified>
</cp:coreProperties>
</file>